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cmhospitalar-my.sharepoint.com/personal/dino_grejo_viveo_com_br/Documents/Documentos/Dino/LOGISTIC/"/>
    </mc:Choice>
  </mc:AlternateContent>
  <xr:revisionPtr revIDLastSave="5" documentId="8_{0689124B-500B-4367-965F-0C02995F7E65}" xr6:coauthVersionLast="47" xr6:coauthVersionMax="47" xr10:uidLastSave="{3CED8CB0-0ED1-4E18-B18E-CA1CD6249829}"/>
  <bookViews>
    <workbookView xWindow="-110" yWindow="-110" windowWidth="19420" windowHeight="10420" xr2:uid="{00000000-000D-0000-FFFF-FFFF00000000}"/>
  </bookViews>
  <sheets>
    <sheet name="AEREO" sheetId="1" r:id="rId1"/>
    <sheet name="RODO" sheetId="4" r:id="rId2"/>
    <sheet name="M3 VEICULO" sheetId="6" r:id="rId3"/>
    <sheet name="PESO EIXO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" l="1"/>
  <c r="I9" i="1" s="1"/>
  <c r="D36" i="1" l="1"/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R23" i="6" l="1"/>
  <c r="I53" i="4"/>
  <c r="J53" i="4" s="1"/>
  <c r="I54" i="4"/>
  <c r="J54" i="4" s="1"/>
  <c r="I55" i="4"/>
  <c r="J55" i="4" s="1"/>
  <c r="I56" i="4"/>
  <c r="J56" i="4" s="1"/>
  <c r="I57" i="4"/>
  <c r="J57" i="4" s="1"/>
  <c r="I58" i="4"/>
  <c r="J58" i="4" s="1"/>
  <c r="I59" i="4"/>
  <c r="J59" i="4" s="1"/>
  <c r="I60" i="4"/>
  <c r="J60" i="4" s="1"/>
  <c r="I61" i="4"/>
  <c r="J61" i="4" s="1"/>
  <c r="I62" i="4"/>
  <c r="J62" i="4" s="1"/>
  <c r="I63" i="4"/>
  <c r="J63" i="4" s="1"/>
  <c r="I64" i="4"/>
  <c r="J64" i="4" s="1"/>
  <c r="I65" i="4"/>
  <c r="J65" i="4" s="1"/>
  <c r="I66" i="4"/>
  <c r="J66" i="4" s="1"/>
  <c r="I67" i="4"/>
  <c r="J67" i="4" s="1"/>
  <c r="I68" i="4"/>
  <c r="J68" i="4" s="1"/>
  <c r="I69" i="4"/>
  <c r="J69" i="4" s="1"/>
  <c r="I70" i="4"/>
  <c r="J70" i="4" s="1"/>
  <c r="I71" i="4"/>
  <c r="J71" i="4" s="1"/>
  <c r="I72" i="4"/>
  <c r="J72" i="4" s="1"/>
  <c r="I73" i="4"/>
  <c r="J73" i="4" s="1"/>
  <c r="I74" i="4"/>
  <c r="J74" i="4" s="1"/>
  <c r="I75" i="4"/>
  <c r="J75" i="4" s="1"/>
  <c r="I76" i="4"/>
  <c r="J76" i="4" s="1"/>
  <c r="I77" i="4"/>
  <c r="J77" i="4" s="1"/>
  <c r="I78" i="4"/>
  <c r="J78" i="4" s="1"/>
  <c r="I79" i="4"/>
  <c r="J79" i="4" s="1"/>
  <c r="I80" i="4"/>
  <c r="J80" i="4" s="1"/>
  <c r="I81" i="4"/>
  <c r="J81" i="4" s="1"/>
  <c r="I82" i="4"/>
  <c r="J82" i="4" s="1"/>
  <c r="I83" i="4"/>
  <c r="J83" i="4" s="1"/>
  <c r="I84" i="4"/>
  <c r="J84" i="4" s="1"/>
  <c r="I85" i="4"/>
  <c r="J85" i="4" s="1"/>
  <c r="I86" i="4"/>
  <c r="J86" i="4" s="1"/>
  <c r="I87" i="4"/>
  <c r="J87" i="4" s="1"/>
  <c r="I88" i="4"/>
  <c r="J88" i="4" s="1"/>
  <c r="I89" i="4"/>
  <c r="J89" i="4" s="1"/>
  <c r="I90" i="4"/>
  <c r="J90" i="4" s="1"/>
  <c r="I91" i="4"/>
  <c r="J91" i="4" s="1"/>
  <c r="I92" i="4"/>
  <c r="J92" i="4" s="1"/>
  <c r="I93" i="4"/>
  <c r="J93" i="4" s="1"/>
  <c r="I94" i="4"/>
  <c r="J94" i="4" s="1"/>
  <c r="I95" i="4"/>
  <c r="J95" i="4" s="1"/>
  <c r="I96" i="4"/>
  <c r="J96" i="4"/>
  <c r="I97" i="4"/>
  <c r="J97" i="4"/>
  <c r="I98" i="4"/>
  <c r="J98" i="4" s="1"/>
  <c r="I99" i="4"/>
  <c r="J99" i="4"/>
  <c r="I100" i="4"/>
  <c r="J100" i="4"/>
  <c r="I101" i="4"/>
  <c r="J101" i="4"/>
  <c r="I102" i="4"/>
  <c r="J102" i="4"/>
  <c r="I36" i="4"/>
  <c r="J36" i="4" s="1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 s="1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  <c r="I50" i="4"/>
  <c r="J50" i="4" s="1"/>
  <c r="I51" i="4"/>
  <c r="J51" i="4" s="1"/>
  <c r="I52" i="4"/>
  <c r="J52" i="4" s="1"/>
  <c r="I103" i="4"/>
  <c r="J103" i="4"/>
  <c r="I104" i="4"/>
  <c r="J104" i="4" s="1"/>
  <c r="I105" i="4"/>
  <c r="J105" i="4" s="1"/>
  <c r="I106" i="4"/>
  <c r="J106" i="4"/>
  <c r="I107" i="4"/>
  <c r="J107" i="4" s="1"/>
  <c r="I108" i="4" l="1"/>
  <c r="J108" i="4" s="1"/>
  <c r="I109" i="4"/>
  <c r="J109" i="4"/>
  <c r="I110" i="4"/>
  <c r="J110" i="4" s="1"/>
  <c r="I111" i="4"/>
  <c r="J111" i="4" s="1"/>
  <c r="I112" i="4"/>
  <c r="J112" i="4" s="1"/>
  <c r="I113" i="4"/>
  <c r="J113" i="4" s="1"/>
  <c r="I114" i="4"/>
  <c r="J114" i="4" s="1"/>
  <c r="I115" i="4"/>
  <c r="J115" i="4" s="1"/>
  <c r="I116" i="4"/>
  <c r="J116" i="4" s="1"/>
  <c r="I117" i="4"/>
  <c r="J117" i="4" s="1"/>
  <c r="I118" i="4"/>
  <c r="J118" i="4" s="1"/>
  <c r="I119" i="4"/>
  <c r="J119" i="4" s="1"/>
  <c r="I120" i="4"/>
  <c r="J120" i="4" s="1"/>
  <c r="I121" i="4"/>
  <c r="J121" i="4" s="1"/>
  <c r="I122" i="4"/>
  <c r="J122" i="4" s="1"/>
  <c r="I123" i="4"/>
  <c r="J123" i="4" s="1"/>
  <c r="I124" i="4"/>
  <c r="J124" i="4"/>
  <c r="I125" i="4"/>
  <c r="J125" i="4" s="1"/>
  <c r="I126" i="4"/>
  <c r="J126" i="4" s="1"/>
  <c r="I127" i="4"/>
  <c r="J127" i="4"/>
  <c r="I128" i="4"/>
  <c r="J128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H8" i="1" l="1"/>
  <c r="I8" i="1" s="1"/>
  <c r="I14" i="4" l="1"/>
  <c r="J14" i="4" s="1"/>
  <c r="I15" i="4"/>
  <c r="J15" i="4" s="1"/>
  <c r="I16" i="4"/>
  <c r="J16" i="4" s="1"/>
  <c r="I17" i="4"/>
  <c r="J17" i="4" s="1"/>
  <c r="I10" i="1" l="1"/>
  <c r="I11" i="1"/>
  <c r="I12" i="1"/>
  <c r="I13" i="1"/>
  <c r="I14" i="1"/>
  <c r="I15" i="1"/>
  <c r="I10" i="4"/>
  <c r="J10" i="4" s="1"/>
  <c r="I11" i="4"/>
  <c r="J11" i="4" s="1"/>
  <c r="I12" i="4"/>
  <c r="J12" i="4" s="1"/>
  <c r="I13" i="4"/>
  <c r="J13" i="4" s="1"/>
  <c r="I18" i="4"/>
  <c r="J18" i="4" s="1"/>
  <c r="I19" i="4"/>
  <c r="J19" i="4" s="1"/>
  <c r="I20" i="4"/>
  <c r="J20" i="4" s="1"/>
  <c r="I21" i="1" l="1"/>
  <c r="I22" i="1"/>
  <c r="I23" i="1"/>
  <c r="I24" i="1"/>
  <c r="I31" i="1" l="1"/>
  <c r="I32" i="1"/>
  <c r="I28" i="1" l="1"/>
  <c r="I29" i="1"/>
  <c r="I30" i="1"/>
  <c r="I33" i="1"/>
  <c r="I16" i="1"/>
  <c r="I17" i="1"/>
  <c r="I18" i="1"/>
  <c r="I19" i="1"/>
  <c r="J132" i="4" l="1"/>
  <c r="I21" i="4" l="1"/>
  <c r="J21" i="4" s="1"/>
  <c r="I22" i="4"/>
  <c r="J22" i="4" s="1"/>
  <c r="I23" i="4"/>
  <c r="J23" i="4" s="1"/>
  <c r="I24" i="4"/>
  <c r="J24" i="4" s="1"/>
  <c r="I25" i="4"/>
  <c r="J25" i="4" s="1"/>
  <c r="I26" i="4"/>
  <c r="J26" i="4" s="1"/>
  <c r="D131" i="4"/>
  <c r="I129" i="4"/>
  <c r="J129" i="4" s="1"/>
  <c r="I9" i="4"/>
  <c r="J9" i="4" s="1"/>
  <c r="I8" i="4"/>
  <c r="J8" i="4" s="1"/>
  <c r="I7" i="4"/>
  <c r="I6" i="4"/>
  <c r="J6" i="4" s="1"/>
  <c r="I130" i="4" l="1"/>
  <c r="J7" i="4"/>
  <c r="J131" i="4" s="1"/>
  <c r="I20" i="1"/>
  <c r="I25" i="1"/>
  <c r="I26" i="1"/>
  <c r="I27" i="1"/>
  <c r="I34" i="1"/>
  <c r="I35" i="1"/>
  <c r="H7" i="1" l="1"/>
  <c r="I7" i="1" s="1"/>
  <c r="H6" i="1"/>
  <c r="I6" i="1" s="1"/>
  <c r="I36" i="1" l="1"/>
</calcChain>
</file>

<file path=xl/sharedStrings.xml><?xml version="1.0" encoding="utf-8"?>
<sst xmlns="http://schemas.openxmlformats.org/spreadsheetml/2006/main" count="330" uniqueCount="148">
  <si>
    <t>VOL</t>
  </si>
  <si>
    <t>CUBAGEM</t>
  </si>
  <si>
    <t>VOLUMES</t>
  </si>
  <si>
    <t>A(cm)</t>
  </si>
  <si>
    <t>L(cm)</t>
  </si>
  <si>
    <t>C(cm)</t>
  </si>
  <si>
    <t>Kg</t>
  </si>
  <si>
    <t>A(m)</t>
  </si>
  <si>
    <t>L(m)</t>
  </si>
  <si>
    <t>C(m)</t>
  </si>
  <si>
    <t>m³</t>
  </si>
  <si>
    <t>peso real (balança)</t>
  </si>
  <si>
    <t>M³</t>
  </si>
  <si>
    <t xml:space="preserve"> </t>
  </si>
  <si>
    <t>HABILITAR MACRO</t>
  </si>
  <si>
    <t>PESO
TOTAL</t>
  </si>
  <si>
    <t>Principais Configurações de Veículos Usadas no País</t>
  </si>
  <si>
    <t>Peso Máximo Permitido por Eixo</t>
  </si>
  <si>
    <t>PBT</t>
  </si>
  <si>
    <t>leia mais</t>
  </si>
  <si>
    <t>PBT + Tolerância de 5%</t>
  </si>
  <si>
    <t>CMT mínima</t>
  </si>
  <si>
    <t>Lotação</t>
  </si>
  <si>
    <t>Comprimento mínimo</t>
  </si>
  <si>
    <t>Comprimento máximo</t>
  </si>
  <si>
    <t>Precisa AET</t>
  </si>
  <si>
    <t>Caminhão</t>
  </si>
  <si>
    <t>6+10</t>
  </si>
  <si>
    <t>16,0t</t>
  </si>
  <si>
    <t>16,800t</t>
  </si>
  <si>
    <t>8,0 t</t>
  </si>
  <si>
    <t>-</t>
  </si>
  <si>
    <t>14,0m</t>
  </si>
  <si>
    <t>não</t>
  </si>
  <si>
    <t>Caminhão Trucado</t>
  </si>
  <si>
    <t>6+17</t>
  </si>
  <si>
    <t>23,0t</t>
  </si>
  <si>
    <t>24,150t</t>
  </si>
  <si>
    <t>14,0t</t>
  </si>
  <si>
    <t>Caminhão Simples</t>
  </si>
  <si>
    <t>6+25,5</t>
  </si>
  <si>
    <t>31,5t</t>
  </si>
  <si>
    <t>33,075t</t>
  </si>
  <si>
    <t>Caminhão Duplo Direcional Trucado</t>
  </si>
  <si>
    <t>6+6+17</t>
  </si>
  <si>
    <t>29,0t</t>
  </si>
  <si>
    <t>30,450t</t>
  </si>
  <si>
    <t>Caminhão + Reboque</t>
  </si>
  <si>
    <t>6+10+17</t>
  </si>
  <si>
    <t>33,0t</t>
  </si>
  <si>
    <t>34,650t</t>
  </si>
  <si>
    <t>vide nota (2)</t>
  </si>
  <si>
    <t>19,80m</t>
  </si>
  <si>
    <t>6+10+10+17</t>
  </si>
  <si>
    <t>43,0t</t>
  </si>
  <si>
    <t>45,150t</t>
  </si>
  <si>
    <t>Caminhão Trucado + Reboque</t>
  </si>
  <si>
    <t>6+17+10+17</t>
  </si>
  <si>
    <t>50,0t</t>
  </si>
  <si>
    <t>52,500t</t>
  </si>
  <si>
    <t>17,50m</t>
  </si>
  <si>
    <t>Romeu e Julieta</t>
  </si>
  <si>
    <t>Caminhão Trator + Semi-reboque</t>
  </si>
  <si>
    <t>6+10+10</t>
  </si>
  <si>
    <r>
      <t>26,0t</t>
    </r>
    <r>
      <rPr>
        <sz val="10"/>
        <color rgb="FF333333"/>
        <rFont val="Verdana"/>
        <family val="2"/>
      </rPr>
      <t>(1)</t>
    </r>
  </si>
  <si>
    <t>27,300t</t>
  </si>
  <si>
    <t>18,60m</t>
  </si>
  <si>
    <r>
      <t>33,0t</t>
    </r>
    <r>
      <rPr>
        <sz val="10"/>
        <color rgb="FF333333"/>
        <rFont val="Verdana"/>
        <family val="2"/>
      </rPr>
      <t>(1)</t>
    </r>
  </si>
  <si>
    <t>6+10+25,5</t>
  </si>
  <si>
    <r>
      <t>41,5t</t>
    </r>
    <r>
      <rPr>
        <sz val="10"/>
        <color rgb="FF333333"/>
        <rFont val="Verdana"/>
        <family val="2"/>
      </rPr>
      <t>(1)</t>
    </r>
  </si>
  <si>
    <t>43,575t</t>
  </si>
  <si>
    <t>6+10+20</t>
  </si>
  <si>
    <t>vide nota (10)</t>
  </si>
  <si>
    <r>
      <t>36,0t</t>
    </r>
    <r>
      <rPr>
        <sz val="10"/>
        <color rgb="FF333333"/>
        <rFont val="Verdana"/>
        <family val="2"/>
      </rPr>
      <t>(1)</t>
    </r>
  </si>
  <si>
    <t>37,800t</t>
  </si>
  <si>
    <t>6+10+10+10+10</t>
  </si>
  <si>
    <t>46,0t</t>
  </si>
  <si>
    <t>48,300t</t>
  </si>
  <si>
    <t>16,00m</t>
  </si>
  <si>
    <t>vide nota (1)</t>
  </si>
  <si>
    <t>Caminhão Trator Trucado + Semi-reboque</t>
  </si>
  <si>
    <t>6+17+10</t>
  </si>
  <si>
    <t>6+17+17</t>
  </si>
  <si>
    <t>40,0t</t>
  </si>
  <si>
    <t>42,000t</t>
  </si>
  <si>
    <t>6+17+25,5</t>
  </si>
  <si>
    <t>48,5t</t>
  </si>
  <si>
    <t>50,925t</t>
  </si>
  <si>
    <t>6+17+10+10</t>
  </si>
  <si>
    <t>6+17+10+10+10</t>
  </si>
  <si>
    <t>53,0t</t>
  </si>
  <si>
    <t>55,65t</t>
  </si>
  <si>
    <t>Treminhão</t>
  </si>
  <si>
    <t>6+17+10+10+10+10</t>
  </si>
  <si>
    <t>63,0t</t>
  </si>
  <si>
    <t>66,150t</t>
  </si>
  <si>
    <r>
      <t>25,0m</t>
    </r>
    <r>
      <rPr>
        <sz val="10"/>
        <color rgb="FF333333"/>
        <rFont val="Verdana"/>
        <family val="2"/>
      </rPr>
      <t>(2)</t>
    </r>
  </si>
  <si>
    <t>30,0m</t>
  </si>
  <si>
    <t>sim</t>
  </si>
  <si>
    <t>Bitrem com comprimento entre 17,50 a 19,80m</t>
  </si>
  <si>
    <t>6+17+17+17</t>
  </si>
  <si>
    <t>57,0t</t>
  </si>
  <si>
    <t>59,850t</t>
  </si>
  <si>
    <t>36,0t</t>
  </si>
  <si>
    <t>Bitrem com comprimento entre 19,80m e 30,00m</t>
  </si>
  <si>
    <t>vide nota (4)</t>
  </si>
  <si>
    <t>Rodotrem com comprimento entre 19,8m e 25,0m</t>
  </si>
  <si>
    <t>6+17+17+17+17</t>
  </si>
  <si>
    <t>74,0t</t>
  </si>
  <si>
    <t>77,700t</t>
  </si>
  <si>
    <t>48,0t</t>
  </si>
  <si>
    <t>19,8m</t>
  </si>
  <si>
    <r>
      <t>vide nota (6)</t>
    </r>
    <r>
      <rPr>
        <sz val="10"/>
        <color rgb="FF333333"/>
        <rFont val="Arial"/>
        <family val="2"/>
      </rPr>
      <t> e</t>
    </r>
    <r>
      <rPr>
        <sz val="10"/>
        <color rgb="FF337AB7"/>
        <rFont val="Arial"/>
        <family val="2"/>
      </rPr>
      <t> nota (7)</t>
    </r>
  </si>
  <si>
    <t>25,0m</t>
  </si>
  <si>
    <t>Rodotrem com comprimento entre 25,0m e 30,0m</t>
  </si>
  <si>
    <t>Tritrem</t>
  </si>
  <si>
    <t>Bitrem de 8 Eixos</t>
  </si>
  <si>
    <t>6+17+17+25,5</t>
  </si>
  <si>
    <t>65,5t</t>
  </si>
  <si>
    <t>68,775t</t>
  </si>
  <si>
    <t>Bitrem de 9 Eixos</t>
  </si>
  <si>
    <t>6+17+25,5+25,5</t>
  </si>
  <si>
    <t>vide nota (8)</t>
  </si>
  <si>
    <t>Tipos de Eixos e Pesos Máximos Permitidos</t>
  </si>
  <si>
    <t>TIPOS DE EIXOS</t>
  </si>
  <si>
    <t>CONFIGURAÇÃO DE EIXOS</t>
  </si>
  <si>
    <t>PESO MÁXIMO PERMITIDO (t)</t>
  </si>
  <si>
    <t>EIXO SIMPLES COM RODAGEM SINGELA (2 PNEUS)</t>
  </si>
  <si>
    <r>
      <t>ou </t>
    </r>
    <r>
      <rPr>
        <sz val="7.5"/>
        <color rgb="FF333333"/>
        <rFont val="Arial"/>
        <family val="2"/>
      </rPr>
      <t>a capacidade declarada pelo fabricante do pneumático.</t>
    </r>
  </si>
  <si>
    <t>EIXO SIMPLES COM RODAGEM DUPLA (4 PNEUS)</t>
  </si>
  <si>
    <t>EIXO DUPLO DIRECIONAL COM RODAGEM SINGELA (4 PNEUS)</t>
  </si>
  <si>
    <t>1,20 &lt; d </t>
  </si>
  <si>
    <t> 2,40m</t>
  </si>
  <si>
    <t>EIXO DUPLO COM RODAGEM SINGELA (4 PNEUS DO TIPO EXTRALARGO)</t>
  </si>
  <si>
    <t>EIXO DUPLO SENDO UM COM RODAGEM DUPLA (6 PNEUS) d &lt; ou igual a 1,20m</t>
  </si>
  <si>
    <t>EIXO DUPLO SENDO UM COM RODAGEM DUPLA (6 PNEUS) - TANDEM</t>
  </si>
  <si>
    <t>EIXO DUPLO COM RODAGEM DUPLA (8 PNEUS) - NÃO TANDEM 1,20 &lt; d </t>
  </si>
  <si>
    <t>EIXO DUPLO COM RODAGEM DUPLA (8 PNEUS) - TANDEM 1,20 &lt; d </t>
  </si>
  <si>
    <t>EIXO DUPLO COM RODAGEM DUPLA (8 PNEUS) - TANDEM d &gt; 2,40m</t>
  </si>
  <si>
    <t>EIXO TRIPLO COM RODAGENS DUPLAS (12 PNEUS) - TANDEM 1,20 &lt; d </t>
  </si>
  <si>
    <t>EIXO TRIPLO SENDO UMA RODAGEM SINGELA E DUAS DUPLAS (12 PNEUS), ESTA EM TANDEM, ESTANDO O PRIMEIRO EIXO DISTANCIADO A MAIS DE 2,40m</t>
  </si>
  <si>
    <t>EIXO TRIPLO COM RODAGENS DUPLAS (12 PNEUS) - TANDEM d &gt; 2,40m</t>
  </si>
  <si>
    <t>PESO BRUTO TOTAL POR UNIDADE</t>
  </si>
  <si>
    <t>Peso Bruto Total por Combinação de Veículos de Carga - CVC, com duas ou mais unidades, incluída a unidade tratora, observados os incisos IV, V e VI do artigo 2º da Resolução nº 68/98 - CONTRAN.</t>
  </si>
  <si>
    <t>POTÊNCIA/PESO</t>
  </si>
  <si>
    <t>5,71 CV/t</t>
  </si>
  <si>
    <t>28L</t>
  </si>
  <si>
    <t>130L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</si>
</sst>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"/>
    <numFmt numFmtId="165" formatCode="0.00_ "/>
  </numFmts>
  <fonts count="25">
    <font>
      <sz val="10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333333"/>
      <name val="Arial"/>
      <family val="2"/>
    </font>
    <font>
      <sz val="10"/>
      <color rgb="FF333333"/>
      <name val="Arial"/>
      <family val="2"/>
    </font>
    <font>
      <sz val="10"/>
      <color rgb="FF337AB7"/>
      <name val="Arial"/>
      <family val="2"/>
    </font>
    <font>
      <sz val="7.5"/>
      <color rgb="FF333333"/>
      <name val="Arial"/>
      <family val="2"/>
    </font>
    <font>
      <sz val="12"/>
      <color rgb="FF337AB7"/>
      <name val="Arial"/>
      <family val="2"/>
    </font>
    <font>
      <sz val="10"/>
      <color rgb="FF333333"/>
      <name val="Verdana"/>
      <family val="2"/>
    </font>
    <font>
      <u/>
      <sz val="10"/>
      <color rgb="FF23527C"/>
      <name val="Arial"/>
      <family val="2"/>
    </font>
    <font>
      <u/>
      <sz val="10"/>
      <color theme="10"/>
      <name val="Calibri"/>
      <family val="2"/>
      <scheme val="minor"/>
    </font>
    <font>
      <b/>
      <sz val="23"/>
      <color rgb="FF333333"/>
      <name val="Arial"/>
      <family val="2"/>
    </font>
    <font>
      <b/>
      <sz val="10"/>
      <color rgb="FF0000F0"/>
      <name val="Verdana"/>
      <family val="2"/>
    </font>
    <font>
      <sz val="7.5"/>
      <color rgb="FF333333"/>
      <name val="Verdana"/>
      <family val="2"/>
    </font>
    <font>
      <b/>
      <sz val="28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0F0F0"/>
        <bgColor indexed="64"/>
      </patternFill>
    </fill>
  </fills>
  <borders count="34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/>
      <right/>
      <top/>
      <bottom style="medium">
        <color rgb="FFDDDDDD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4" borderId="4" xfId="0" applyFill="1" applyBorder="1">
      <alignment vertical="center"/>
    </xf>
    <xf numFmtId="0" fontId="3" fillId="0" borderId="5" xfId="0" applyFont="1" applyBorder="1">
      <alignment vertical="center"/>
    </xf>
    <xf numFmtId="0" fontId="4" fillId="0" borderId="4" xfId="0" applyFont="1" applyBorder="1">
      <alignment vertical="center"/>
    </xf>
    <xf numFmtId="0" fontId="5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2" fillId="3" borderId="2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2" borderId="6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8" fillId="2" borderId="10" xfId="0" applyFont="1" applyFill="1" applyBorder="1">
      <alignment vertical="center"/>
    </xf>
    <xf numFmtId="0" fontId="8" fillId="2" borderId="11" xfId="0" applyFont="1" applyFill="1" applyBorder="1">
      <alignment vertical="center"/>
    </xf>
    <xf numFmtId="2" fontId="3" fillId="0" borderId="8" xfId="0" applyNumberFormat="1" applyFont="1" applyBorder="1">
      <alignment vertical="center"/>
    </xf>
    <xf numFmtId="0" fontId="4" fillId="0" borderId="0" xfId="0" applyFont="1">
      <alignment vertical="center"/>
    </xf>
    <xf numFmtId="0" fontId="3" fillId="5" borderId="0" xfId="0" applyFont="1" applyFill="1">
      <alignment vertical="center"/>
    </xf>
    <xf numFmtId="2" fontId="3" fillId="0" borderId="19" xfId="0" applyNumberFormat="1" applyFont="1" applyBorder="1">
      <alignment vertical="center"/>
    </xf>
    <xf numFmtId="2" fontId="8" fillId="2" borderId="10" xfId="0" applyNumberFormat="1" applyFont="1" applyFill="1" applyBorder="1">
      <alignment vertical="center"/>
    </xf>
    <xf numFmtId="0" fontId="3" fillId="0" borderId="8" xfId="0" applyFont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8" fillId="2" borderId="12" xfId="0" applyFont="1" applyFill="1" applyBorder="1">
      <alignment vertical="center"/>
    </xf>
    <xf numFmtId="0" fontId="8" fillId="2" borderId="5" xfId="0" applyFont="1" applyFill="1" applyBorder="1">
      <alignment vertical="center"/>
    </xf>
    <xf numFmtId="0" fontId="8" fillId="2" borderId="13" xfId="0" applyFont="1" applyFill="1" applyBorder="1">
      <alignment vertical="center"/>
    </xf>
    <xf numFmtId="0" fontId="9" fillId="0" borderId="16" xfId="0" applyFont="1" applyBorder="1">
      <alignment vertical="center"/>
    </xf>
    <xf numFmtId="0" fontId="9" fillId="0" borderId="18" xfId="0" applyFont="1" applyBorder="1">
      <alignment vertical="center"/>
    </xf>
    <xf numFmtId="0" fontId="9" fillId="0" borderId="18" xfId="0" applyFont="1" applyBorder="1" applyAlignment="1">
      <alignment horizontal="right" vertical="center"/>
    </xf>
    <xf numFmtId="0" fontId="8" fillId="2" borderId="22" xfId="0" applyFont="1" applyFill="1" applyBorder="1">
      <alignment vertical="center"/>
    </xf>
    <xf numFmtId="0" fontId="8" fillId="2" borderId="23" xfId="0" applyFont="1" applyFill="1" applyBorder="1">
      <alignment vertical="center"/>
    </xf>
    <xf numFmtId="0" fontId="3" fillId="0" borderId="24" xfId="0" applyFont="1" applyBorder="1">
      <alignment vertical="center"/>
    </xf>
    <xf numFmtId="0" fontId="3" fillId="0" borderId="25" xfId="0" applyFont="1" applyBorder="1">
      <alignment vertical="center"/>
    </xf>
    <xf numFmtId="2" fontId="8" fillId="2" borderId="13" xfId="0" applyNumberFormat="1" applyFont="1" applyFill="1" applyBorder="1">
      <alignment vertical="center"/>
    </xf>
    <xf numFmtId="2" fontId="8" fillId="2" borderId="11" xfId="0" applyNumberFormat="1" applyFont="1" applyFill="1" applyBorder="1">
      <alignment vertical="center"/>
    </xf>
    <xf numFmtId="2" fontId="3" fillId="0" borderId="21" xfId="0" applyNumberFormat="1" applyFont="1" applyBorder="1">
      <alignment vertical="center"/>
    </xf>
    <xf numFmtId="164" fontId="5" fillId="3" borderId="3" xfId="0" applyNumberFormat="1" applyFont="1" applyFill="1" applyBorder="1">
      <alignment vertical="center"/>
    </xf>
    <xf numFmtId="0" fontId="11" fillId="0" borderId="1" xfId="0" applyFont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/>
    </xf>
    <xf numFmtId="164" fontId="5" fillId="5" borderId="15" xfId="0" applyNumberFormat="1" applyFont="1" applyFill="1" applyBorder="1">
      <alignment vertical="center"/>
    </xf>
    <xf numFmtId="165" fontId="5" fillId="5" borderId="14" xfId="0" applyNumberFormat="1" applyFont="1" applyFill="1" applyBorder="1">
      <alignment vertical="center"/>
    </xf>
    <xf numFmtId="165" fontId="5" fillId="5" borderId="3" xfId="0" applyNumberFormat="1" applyFont="1" applyFill="1" applyBorder="1">
      <alignment vertical="center"/>
    </xf>
    <xf numFmtId="0" fontId="14" fillId="7" borderId="27" xfId="0" applyFont="1" applyFill="1" applyBorder="1" applyAlignment="1">
      <alignment horizontal="center" vertical="top" wrapText="1"/>
    </xf>
    <xf numFmtId="0" fontId="20" fillId="7" borderId="28" xfId="1" applyFill="1" applyBorder="1" applyAlignment="1">
      <alignment horizontal="center" vertical="top" wrapText="1"/>
    </xf>
    <xf numFmtId="0" fontId="14" fillId="6" borderId="27" xfId="0" applyFont="1" applyFill="1" applyBorder="1" applyAlignment="1">
      <alignment horizontal="center" vertical="top" wrapText="1"/>
    </xf>
    <xf numFmtId="0" fontId="14" fillId="8" borderId="27" xfId="0" applyFont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15" fillId="6" borderId="29" xfId="0" applyFont="1" applyFill="1" applyBorder="1" applyAlignment="1">
      <alignment horizontal="center" vertical="top" wrapText="1"/>
    </xf>
    <xf numFmtId="0" fontId="15" fillId="6" borderId="28" xfId="0" applyFont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15" fillId="8" borderId="29" xfId="0" applyFont="1" applyFill="1" applyBorder="1" applyAlignment="1">
      <alignment horizontal="center" vertical="top" wrapText="1"/>
    </xf>
    <xf numFmtId="0" fontId="15" fillId="8" borderId="28" xfId="0" applyFont="1" applyFill="1" applyBorder="1" applyAlignment="1">
      <alignment horizontal="center" vertical="top" wrapText="1"/>
    </xf>
    <xf numFmtId="0" fontId="19" fillId="8" borderId="28" xfId="0" applyFont="1" applyFill="1" applyBorder="1" applyAlignment="1">
      <alignment horizontal="center" vertical="top" wrapText="1"/>
    </xf>
    <xf numFmtId="0" fontId="22" fillId="9" borderId="26" xfId="0" applyFont="1" applyFill="1" applyBorder="1" applyAlignment="1">
      <alignment horizontal="center" vertical="center" wrapText="1"/>
    </xf>
    <xf numFmtId="0" fontId="23" fillId="6" borderId="27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23" fillId="6" borderId="26" xfId="0" applyFont="1" applyFill="1" applyBorder="1" applyAlignment="1">
      <alignment horizontal="center" vertical="center" wrapText="1"/>
    </xf>
    <xf numFmtId="0" fontId="14" fillId="6" borderId="26" xfId="0" applyFont="1" applyFill="1" applyBorder="1" applyAlignment="1">
      <alignment horizontal="center" vertical="center" wrapText="1"/>
    </xf>
    <xf numFmtId="0" fontId="18" fillId="6" borderId="26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0" fillId="6" borderId="28" xfId="0" applyFill="1" applyBorder="1" applyAlignment="1">
      <alignment vertical="top" wrapText="1"/>
    </xf>
    <xf numFmtId="0" fontId="0" fillId="6" borderId="29" xfId="0" applyFill="1" applyBorder="1" applyAlignment="1">
      <alignment vertical="top" wrapText="1"/>
    </xf>
    <xf numFmtId="0" fontId="14" fillId="6" borderId="26" xfId="0" applyFont="1" applyFill="1" applyBorder="1" applyAlignment="1">
      <alignment horizontal="center" vertical="top" wrapText="1"/>
    </xf>
    <xf numFmtId="1" fontId="0" fillId="0" borderId="0" xfId="0" applyNumberFormat="1">
      <alignment vertical="center"/>
    </xf>
    <xf numFmtId="1" fontId="3" fillId="0" borderId="0" xfId="0" applyNumberFormat="1" applyFont="1">
      <alignment vertical="center"/>
    </xf>
    <xf numFmtId="0" fontId="3" fillId="0" borderId="6" xfId="0" applyFont="1" applyBorder="1">
      <alignment vertical="center"/>
    </xf>
    <xf numFmtId="0" fontId="3" fillId="0" borderId="31" xfId="0" applyFont="1" applyBorder="1">
      <alignment vertical="center"/>
    </xf>
    <xf numFmtId="0" fontId="3" fillId="0" borderId="0" xfId="0" applyFont="1">
      <alignment vertical="center"/>
    </xf>
    <xf numFmtId="0" fontId="3" fillId="0" borderId="33" xfId="0" applyFont="1" applyBorder="1">
      <alignment vertical="center"/>
    </xf>
    <xf numFmtId="1" fontId="8" fillId="2" borderId="8" xfId="0" applyNumberFormat="1" applyFont="1" applyFill="1" applyBorder="1">
      <alignment vertical="center"/>
    </xf>
    <xf numFmtId="164" fontId="5" fillId="3" borderId="32" xfId="0" applyNumberFormat="1" applyFont="1" applyFill="1" applyBorder="1" applyAlignment="1">
      <alignment horizontal="center" vertical="center"/>
    </xf>
    <xf numFmtId="164" fontId="5" fillId="3" borderId="18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horizontal="center" vertical="top" wrapText="1"/>
    </xf>
    <xf numFmtId="0" fontId="14" fillId="7" borderId="28" xfId="0" applyFont="1" applyFill="1" applyBorder="1" applyAlignment="1">
      <alignment horizontal="center" vertical="top" wrapText="1"/>
    </xf>
    <xf numFmtId="0" fontId="16" fillId="6" borderId="27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16" fillId="6" borderId="28" xfId="0" applyFont="1" applyFill="1" applyBorder="1" applyAlignment="1">
      <alignment horizontal="center" vertical="center" wrapText="1"/>
    </xf>
    <xf numFmtId="0" fontId="20" fillId="6" borderId="27" xfId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20" fillId="6" borderId="28" xfId="1" applyFill="1" applyBorder="1" applyAlignment="1">
      <alignment horizontal="center" vertical="top" wrapText="1"/>
    </xf>
    <xf numFmtId="0" fontId="14" fillId="6" borderId="27" xfId="0" applyFont="1" applyFill="1" applyBorder="1" applyAlignment="1">
      <alignment horizontal="center" vertical="top" wrapText="1"/>
    </xf>
    <xf numFmtId="0" fontId="14" fillId="6" borderId="29" xfId="0" applyFont="1" applyFill="1" applyBorder="1" applyAlignment="1">
      <alignment horizontal="center" vertical="top" wrapText="1"/>
    </xf>
    <xf numFmtId="0" fontId="14" fillId="6" borderId="28" xfId="0" applyFont="1" applyFill="1" applyBorder="1" applyAlignment="1">
      <alignment horizontal="center" vertical="top" wrapText="1"/>
    </xf>
    <xf numFmtId="0" fontId="13" fillId="7" borderId="27" xfId="0" applyFont="1" applyFill="1" applyBorder="1" applyAlignment="1">
      <alignment vertical="top" wrapText="1"/>
    </xf>
    <xf numFmtId="0" fontId="13" fillId="7" borderId="28" xfId="0" applyFont="1" applyFill="1" applyBorder="1" applyAlignment="1">
      <alignment vertical="top" wrapText="1"/>
    </xf>
    <xf numFmtId="0" fontId="20" fillId="7" borderId="27" xfId="1" applyFill="1" applyBorder="1" applyAlignment="1">
      <alignment horizontal="center" vertical="top" wrapText="1"/>
    </xf>
    <xf numFmtId="0" fontId="20" fillId="7" borderId="28" xfId="1" applyFill="1" applyBorder="1" applyAlignment="1">
      <alignment horizontal="center" vertical="top" wrapText="1"/>
    </xf>
    <xf numFmtId="0" fontId="16" fillId="8" borderId="27" xfId="0" applyFont="1" applyFill="1" applyBorder="1" applyAlignment="1">
      <alignment horizontal="center" vertical="center" wrapText="1"/>
    </xf>
    <xf numFmtId="0" fontId="16" fillId="8" borderId="29" xfId="0" applyFont="1" applyFill="1" applyBorder="1" applyAlignment="1">
      <alignment horizontal="center" vertical="center" wrapText="1"/>
    </xf>
    <xf numFmtId="0" fontId="16" fillId="8" borderId="28" xfId="0" applyFont="1" applyFill="1" applyBorder="1" applyAlignment="1">
      <alignment horizontal="center" vertical="center" wrapText="1"/>
    </xf>
    <xf numFmtId="0" fontId="20" fillId="8" borderId="27" xfId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20" fillId="8" borderId="28" xfId="1" applyFill="1" applyBorder="1" applyAlignment="1">
      <alignment horizontal="center" vertical="top" wrapText="1"/>
    </xf>
    <xf numFmtId="0" fontId="14" fillId="8" borderId="27" xfId="0" applyFont="1" applyFill="1" applyBorder="1" applyAlignment="1">
      <alignment horizontal="center" vertical="top" wrapText="1"/>
    </xf>
    <xf numFmtId="0" fontId="14" fillId="8" borderId="29" xfId="0" applyFont="1" applyFill="1" applyBorder="1" applyAlignment="1">
      <alignment horizontal="center" vertical="top" wrapText="1"/>
    </xf>
    <xf numFmtId="0" fontId="14" fillId="8" borderId="28" xfId="0" applyFont="1" applyFill="1" applyBorder="1" applyAlignment="1">
      <alignment horizontal="center" vertical="top" wrapText="1"/>
    </xf>
    <xf numFmtId="0" fontId="13" fillId="6" borderId="27" xfId="0" applyFont="1" applyFill="1" applyBorder="1" applyAlignment="1">
      <alignment horizontal="center" vertical="top" wrapText="1"/>
    </xf>
    <xf numFmtId="0" fontId="13" fillId="6" borderId="29" xfId="0" applyFont="1" applyFill="1" applyBorder="1" applyAlignment="1">
      <alignment horizontal="center" vertical="top" wrapText="1"/>
    </xf>
    <xf numFmtId="0" fontId="13" fillId="6" borderId="28" xfId="0" applyFont="1" applyFill="1" applyBorder="1" applyAlignment="1">
      <alignment horizontal="center" vertical="top" wrapText="1"/>
    </xf>
    <xf numFmtId="0" fontId="13" fillId="8" borderId="27" xfId="0" applyFont="1" applyFill="1" applyBorder="1" applyAlignment="1">
      <alignment horizontal="center" vertical="top" wrapText="1"/>
    </xf>
    <xf numFmtId="0" fontId="13" fillId="8" borderId="29" xfId="0" applyFont="1" applyFill="1" applyBorder="1" applyAlignment="1">
      <alignment horizontal="center" vertical="top" wrapText="1"/>
    </xf>
    <xf numFmtId="0" fontId="13" fillId="8" borderId="28" xfId="0" applyFont="1" applyFill="1" applyBorder="1" applyAlignment="1">
      <alignment horizontal="center" vertical="top" wrapText="1"/>
    </xf>
    <xf numFmtId="0" fontId="18" fillId="6" borderId="27" xfId="0" applyFont="1" applyFill="1" applyBorder="1" applyAlignment="1">
      <alignment horizontal="center" vertical="top" wrapText="1"/>
    </xf>
    <xf numFmtId="0" fontId="18" fillId="6" borderId="29" xfId="0" applyFont="1" applyFill="1" applyBorder="1" applyAlignment="1">
      <alignment horizontal="center" vertical="top" wrapText="1"/>
    </xf>
    <xf numFmtId="0" fontId="18" fillId="6" borderId="28" xfId="0" applyFont="1" applyFill="1" applyBorder="1" applyAlignment="1">
      <alignment horizontal="center" vertical="top" wrapText="1"/>
    </xf>
    <xf numFmtId="0" fontId="18" fillId="8" borderId="27" xfId="0" applyFont="1" applyFill="1" applyBorder="1" applyAlignment="1">
      <alignment horizontal="center" vertical="top" wrapText="1"/>
    </xf>
    <xf numFmtId="0" fontId="18" fillId="8" borderId="29" xfId="0" applyFont="1" applyFill="1" applyBorder="1" applyAlignment="1">
      <alignment horizontal="center" vertical="top" wrapText="1"/>
    </xf>
    <xf numFmtId="0" fontId="18" fillId="8" borderId="28" xfId="0" applyFont="1" applyFill="1" applyBorder="1" applyAlignment="1">
      <alignment horizontal="center" vertical="top" wrapText="1"/>
    </xf>
    <xf numFmtId="0" fontId="23" fillId="6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18" fillId="6" borderId="29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29" xfId="0" applyFont="1" applyFill="1" applyBorder="1" applyAlignment="1">
      <alignment horizontal="center" vertical="center" wrapText="1"/>
    </xf>
    <xf numFmtId="0" fontId="17" fillId="6" borderId="28" xfId="0" applyFont="1" applyFill="1" applyBorder="1" applyAlignment="1">
      <alignment horizontal="center" vertical="center" wrapText="1"/>
    </xf>
    <xf numFmtId="0" fontId="21" fillId="0" borderId="30" xfId="0" applyFont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13" Type="http://schemas.openxmlformats.org/officeDocument/2006/relationships/image" Target="../media/image16.gif"/><Relationship Id="rId18" Type="http://schemas.openxmlformats.org/officeDocument/2006/relationships/image" Target="../media/image21.gif"/><Relationship Id="rId26" Type="http://schemas.openxmlformats.org/officeDocument/2006/relationships/image" Target="../media/image29.gif"/><Relationship Id="rId3" Type="http://schemas.openxmlformats.org/officeDocument/2006/relationships/image" Target="../media/image8.gif"/><Relationship Id="rId21" Type="http://schemas.openxmlformats.org/officeDocument/2006/relationships/image" Target="../media/image24.gif"/><Relationship Id="rId34" Type="http://schemas.openxmlformats.org/officeDocument/2006/relationships/image" Target="../media/image37.gif"/><Relationship Id="rId7" Type="http://schemas.openxmlformats.org/officeDocument/2006/relationships/image" Target="../media/image12.gif"/><Relationship Id="rId12" Type="http://schemas.openxmlformats.org/officeDocument/2006/relationships/hyperlink" Target="http://www.guiadotrc.com.br/lei/Qresumo210.ASP" TargetMode="External"/><Relationship Id="rId17" Type="http://schemas.openxmlformats.org/officeDocument/2006/relationships/image" Target="../media/image20.gif"/><Relationship Id="rId25" Type="http://schemas.openxmlformats.org/officeDocument/2006/relationships/image" Target="../media/image28.gif"/><Relationship Id="rId33" Type="http://schemas.openxmlformats.org/officeDocument/2006/relationships/image" Target="../media/image36.jpeg"/><Relationship Id="rId2" Type="http://schemas.openxmlformats.org/officeDocument/2006/relationships/image" Target="../media/image7.gif"/><Relationship Id="rId16" Type="http://schemas.openxmlformats.org/officeDocument/2006/relationships/image" Target="../media/image19.gif"/><Relationship Id="rId20" Type="http://schemas.openxmlformats.org/officeDocument/2006/relationships/image" Target="../media/image23.gif"/><Relationship Id="rId29" Type="http://schemas.openxmlformats.org/officeDocument/2006/relationships/image" Target="../media/image32.jpeg"/><Relationship Id="rId1" Type="http://schemas.openxmlformats.org/officeDocument/2006/relationships/image" Target="../media/image6.gif"/><Relationship Id="rId6" Type="http://schemas.openxmlformats.org/officeDocument/2006/relationships/image" Target="../media/image11.gif"/><Relationship Id="rId11" Type="http://schemas.openxmlformats.org/officeDocument/2006/relationships/image" Target="../media/image15.gif"/><Relationship Id="rId24" Type="http://schemas.openxmlformats.org/officeDocument/2006/relationships/image" Target="../media/image27.gif"/><Relationship Id="rId32" Type="http://schemas.openxmlformats.org/officeDocument/2006/relationships/image" Target="../media/image35.jpeg"/><Relationship Id="rId37" Type="http://schemas.openxmlformats.org/officeDocument/2006/relationships/image" Target="../media/image40.gif"/><Relationship Id="rId5" Type="http://schemas.openxmlformats.org/officeDocument/2006/relationships/image" Target="../media/image10.gif"/><Relationship Id="rId15" Type="http://schemas.openxmlformats.org/officeDocument/2006/relationships/image" Target="../media/image18.gif"/><Relationship Id="rId23" Type="http://schemas.openxmlformats.org/officeDocument/2006/relationships/image" Target="../media/image26.gif"/><Relationship Id="rId28" Type="http://schemas.openxmlformats.org/officeDocument/2006/relationships/image" Target="../media/image31.jpeg"/><Relationship Id="rId36" Type="http://schemas.openxmlformats.org/officeDocument/2006/relationships/image" Target="../media/image39.gif"/><Relationship Id="rId10" Type="http://schemas.openxmlformats.org/officeDocument/2006/relationships/image" Target="../media/image14.gif"/><Relationship Id="rId19" Type="http://schemas.openxmlformats.org/officeDocument/2006/relationships/image" Target="../media/image22.gif"/><Relationship Id="rId31" Type="http://schemas.openxmlformats.org/officeDocument/2006/relationships/image" Target="../media/image34.jpeg"/><Relationship Id="rId4" Type="http://schemas.openxmlformats.org/officeDocument/2006/relationships/image" Target="../media/image9.gif"/><Relationship Id="rId9" Type="http://schemas.openxmlformats.org/officeDocument/2006/relationships/hyperlink" Target="http://www.guiadotrc.com.br/lei/qresumof.asp#Anchor--EI-38393" TargetMode="External"/><Relationship Id="rId14" Type="http://schemas.openxmlformats.org/officeDocument/2006/relationships/image" Target="../media/image17.gif"/><Relationship Id="rId22" Type="http://schemas.openxmlformats.org/officeDocument/2006/relationships/image" Target="../media/image25.gif"/><Relationship Id="rId27" Type="http://schemas.openxmlformats.org/officeDocument/2006/relationships/image" Target="../media/image30.gif"/><Relationship Id="rId30" Type="http://schemas.openxmlformats.org/officeDocument/2006/relationships/image" Target="../media/image33.gif"/><Relationship Id="rId35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5953</xdr:colOff>
      <xdr:row>5</xdr:row>
      <xdr:rowOff>11906</xdr:rowOff>
    </xdr:from>
    <xdr:to>
      <xdr:col>9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25641" y="827484"/>
          <a:ext cx="285750" cy="30956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0</xdr:colOff>
      <xdr:row>7</xdr:row>
      <xdr:rowOff>23813</xdr:rowOff>
    </xdr:from>
    <xdr:to>
      <xdr:col>9</xdr:col>
      <xdr:colOff>285750</xdr:colOff>
      <xdr:row>34</xdr:row>
      <xdr:rowOff>147204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64727" y="1201449"/>
          <a:ext cx="285750" cy="456550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369093</xdr:colOff>
      <xdr:row>5</xdr:row>
      <xdr:rowOff>1</xdr:rowOff>
    </xdr:from>
    <xdr:to>
      <xdr:col>12</xdr:col>
      <xdr:colOff>363141</xdr:colOff>
      <xdr:row>7</xdr:row>
      <xdr:rowOff>5954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88781" y="815579"/>
          <a:ext cx="1988344" cy="33932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9</xdr:col>
      <xdr:colOff>392357</xdr:colOff>
      <xdr:row>18</xdr:row>
      <xdr:rowOff>149986</xdr:rowOff>
    </xdr:from>
    <xdr:to>
      <xdr:col>12</xdr:col>
      <xdr:colOff>453603</xdr:colOff>
      <xdr:row>22</xdr:row>
      <xdr:rowOff>99912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570493" y="3128713"/>
          <a:ext cx="2104792" cy="6080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CXS DO CLIMATIZADO</a:t>
          </a:r>
        </a:p>
        <a:p>
          <a:r>
            <a:rPr lang="pt-BR" sz="1600"/>
            <a:t>INSERIR</a:t>
          </a:r>
          <a:r>
            <a:rPr lang="pt-BR" sz="1600" baseline="0"/>
            <a:t> OS DADOS</a:t>
          </a:r>
          <a:endParaRPr lang="pt-BR" sz="1600"/>
        </a:p>
      </xdr:txBody>
    </xdr:sp>
    <xdr:clientData/>
  </xdr:twoCellAnchor>
  <xdr:twoCellAnchor>
    <xdr:from>
      <xdr:col>1</xdr:col>
      <xdr:colOff>212480</xdr:colOff>
      <xdr:row>3</xdr:row>
      <xdr:rowOff>109905</xdr:rowOff>
    </xdr:from>
    <xdr:to>
      <xdr:col>2</xdr:col>
      <xdr:colOff>587590</xdr:colOff>
      <xdr:row>5</xdr:row>
      <xdr:rowOff>65944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20615" y="593482"/>
          <a:ext cx="983244" cy="28575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700">
              <a:solidFill>
                <a:schemeClr val="bg1"/>
              </a:solidFill>
            </a:rPr>
            <a:t>CM</a:t>
          </a:r>
          <a:r>
            <a:rPr lang="pt-BR" sz="700" baseline="0">
              <a:solidFill>
                <a:schemeClr val="bg1"/>
              </a:solidFill>
            </a:rPr>
            <a:t> SEM A VIRGULA</a:t>
          </a:r>
        </a:p>
        <a:p>
          <a:pPr algn="l"/>
          <a:endParaRPr lang="pt-B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</xdr:colOff>
          <xdr:row>16</xdr:row>
          <xdr:rowOff>127000</xdr:rowOff>
        </xdr:from>
        <xdr:to>
          <xdr:col>2</xdr:col>
          <xdr:colOff>266700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 CUBAGEM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57694" cy="498231"/>
        </a:xfrm>
        <a:prstGeom prst="rect">
          <a:avLst/>
        </a:prstGeom>
      </xdr:spPr>
    </xdr:pic>
    <xdr:clientData/>
  </xdr:twoCellAnchor>
  <xdr:twoCellAnchor editAs="oneCell">
    <xdr:from>
      <xdr:col>4</xdr:col>
      <xdr:colOff>80595</xdr:colOff>
      <xdr:row>0</xdr:row>
      <xdr:rowOff>109904</xdr:rowOff>
    </xdr:from>
    <xdr:to>
      <xdr:col>9</xdr:col>
      <xdr:colOff>151200</xdr:colOff>
      <xdr:row>1</xdr:row>
      <xdr:rowOff>115966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9076" y="109904"/>
          <a:ext cx="2872154" cy="167254"/>
        </a:xfrm>
        <a:prstGeom prst="rect">
          <a:avLst/>
        </a:prstGeom>
      </xdr:spPr>
    </xdr:pic>
    <xdr:clientData/>
  </xdr:twoCellAnchor>
  <xdr:twoCellAnchor editAs="oneCell">
    <xdr:from>
      <xdr:col>9</xdr:col>
      <xdr:colOff>135214</xdr:colOff>
      <xdr:row>0</xdr:row>
      <xdr:rowOff>0</xdr:rowOff>
    </xdr:from>
    <xdr:to>
      <xdr:col>10</xdr:col>
      <xdr:colOff>3331</xdr:colOff>
      <xdr:row>1</xdr:row>
      <xdr:rowOff>139213</xdr:rowOff>
    </xdr:to>
    <xdr:pic>
      <xdr:nvPicPr>
        <xdr:cNvPr id="10" name="Gráfico 9" descr="Polegar apontando para cim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9941" y="0"/>
          <a:ext cx="275095" cy="3037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39928" y="83105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096125" y="1443038"/>
          <a:ext cx="285750" cy="11621690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61753" y="979716"/>
          <a:ext cx="2048897" cy="3918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752474</xdr:colOff>
      <xdr:row>36</xdr:row>
      <xdr:rowOff>142876</xdr:rowOff>
    </xdr:from>
    <xdr:to>
      <xdr:col>17</xdr:col>
      <xdr:colOff>219075</xdr:colOff>
      <xdr:row>51</xdr:row>
      <xdr:rowOff>114301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724774" y="6238876"/>
          <a:ext cx="4162426" cy="24003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/>
            <a:t>CXS DO CLIMATIZADO</a:t>
          </a:r>
        </a:p>
        <a:p>
          <a:r>
            <a:rPr lang="pt-BR" sz="4000"/>
            <a:t>INSERIR</a:t>
          </a:r>
          <a:r>
            <a:rPr lang="pt-BR" sz="4000" baseline="0"/>
            <a:t> OS DADOS</a:t>
          </a:r>
          <a:endParaRPr lang="pt-BR" sz="4000"/>
        </a:p>
      </xdr:txBody>
    </xdr:sp>
    <xdr:clientData/>
  </xdr:twoCellAnchor>
  <xdr:twoCellAnchor>
    <xdr:from>
      <xdr:col>0</xdr:col>
      <xdr:colOff>404813</xdr:colOff>
      <xdr:row>4</xdr:row>
      <xdr:rowOff>23810</xdr:rowOff>
    </xdr:from>
    <xdr:to>
      <xdr:col>2</xdr:col>
      <xdr:colOff>541734</xdr:colOff>
      <xdr:row>8</xdr:row>
      <xdr:rowOff>5952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813" y="678654"/>
          <a:ext cx="1351359" cy="8036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CM</a:t>
          </a:r>
          <a:r>
            <a:rPr lang="pt-BR" sz="900" baseline="0"/>
            <a:t> COM A VIRGULA</a:t>
          </a:r>
        </a:p>
        <a:p>
          <a:pPr algn="l"/>
          <a:r>
            <a:rPr lang="pt-BR" sz="900" baseline="0"/>
            <a:t>valores em metros</a:t>
          </a:r>
        </a:p>
        <a:p>
          <a:pPr algn="l"/>
          <a:endParaRPr lang="pt-BR" sz="9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1002323</xdr:colOff>
      <xdr:row>2</xdr:row>
      <xdr:rowOff>1910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200" y="154598"/>
          <a:ext cx="2878748" cy="167987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2</xdr:row>
      <xdr:rowOff>21982</xdr:rowOff>
    </xdr:to>
    <xdr:pic>
      <xdr:nvPicPr>
        <xdr:cNvPr id="11" name="Gráfico 10" descr="Polegar apontando para cima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13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</xdr:row>
          <xdr:rowOff>88900</xdr:rowOff>
        </xdr:from>
        <xdr:to>
          <xdr:col>2</xdr:col>
          <xdr:colOff>476250</xdr:colOff>
          <xdr:row>29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</a:t>
              </a:r>
            </a:p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cubagens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593867</xdr:colOff>
      <xdr:row>47</xdr:row>
      <xdr:rowOff>74558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51467" cy="76850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91</xdr:row>
      <xdr:rowOff>180975</xdr:rowOff>
    </xdr:from>
    <xdr:to>
      <xdr:col>0</xdr:col>
      <xdr:colOff>2286000</xdr:colOff>
      <xdr:row>92</xdr:row>
      <xdr:rowOff>219075</xdr:rowOff>
    </xdr:to>
    <xdr:pic>
      <xdr:nvPicPr>
        <xdr:cNvPr id="24" name="Imagem 23" descr="Bitrem de 7 Exos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78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714375</xdr:colOff>
      <xdr:row>2</xdr:row>
      <xdr:rowOff>95250</xdr:rowOff>
    </xdr:from>
    <xdr:to>
      <xdr:col>0</xdr:col>
      <xdr:colOff>2000250</xdr:colOff>
      <xdr:row>5</xdr:row>
      <xdr:rowOff>133350</xdr:rowOff>
    </xdr:to>
    <xdr:pic>
      <xdr:nvPicPr>
        <xdr:cNvPr id="2" name="Imagem 1" descr="Caminhão To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733425"/>
          <a:ext cx="12858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542925</xdr:colOff>
      <xdr:row>6</xdr:row>
      <xdr:rowOff>0</xdr:rowOff>
    </xdr:from>
    <xdr:to>
      <xdr:col>0</xdr:col>
      <xdr:colOff>2114550</xdr:colOff>
      <xdr:row>9</xdr:row>
      <xdr:rowOff>114300</xdr:rowOff>
    </xdr:to>
    <xdr:pic>
      <xdr:nvPicPr>
        <xdr:cNvPr id="3" name="Imagem 2" descr="Caminhão Truc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1295400"/>
          <a:ext cx="15716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47625</xdr:rowOff>
    </xdr:from>
    <xdr:to>
      <xdr:col>0</xdr:col>
      <xdr:colOff>1714500</xdr:colOff>
      <xdr:row>13</xdr:row>
      <xdr:rowOff>123825</xdr:rowOff>
    </xdr:to>
    <xdr:pic>
      <xdr:nvPicPr>
        <xdr:cNvPr id="4" name="Imagem 3" descr="Caminhão Simp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000250"/>
          <a:ext cx="15430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123825</xdr:colOff>
      <xdr:row>14</xdr:row>
      <xdr:rowOff>47625</xdr:rowOff>
    </xdr:from>
    <xdr:to>
      <xdr:col>0</xdr:col>
      <xdr:colOff>1695450</xdr:colOff>
      <xdr:row>17</xdr:row>
      <xdr:rowOff>95250</xdr:rowOff>
    </xdr:to>
    <xdr:pic>
      <xdr:nvPicPr>
        <xdr:cNvPr id="5" name="Imagem 4" descr="Caminhão Duplo Direcional Truc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657475"/>
          <a:ext cx="15716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47625</xdr:rowOff>
    </xdr:from>
    <xdr:to>
      <xdr:col>0</xdr:col>
      <xdr:colOff>1743075</xdr:colOff>
      <xdr:row>21</xdr:row>
      <xdr:rowOff>76200</xdr:rowOff>
    </xdr:to>
    <xdr:pic>
      <xdr:nvPicPr>
        <xdr:cNvPr id="6" name="Imagem 5" descr="Caminhão + Reboqu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14700"/>
          <a:ext cx="17430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104775</xdr:colOff>
      <xdr:row>22</xdr:row>
      <xdr:rowOff>57150</xdr:rowOff>
    </xdr:from>
    <xdr:to>
      <xdr:col>0</xdr:col>
      <xdr:colOff>1752600</xdr:colOff>
      <xdr:row>25</xdr:row>
      <xdr:rowOff>57150</xdr:rowOff>
    </xdr:to>
    <xdr:pic>
      <xdr:nvPicPr>
        <xdr:cNvPr id="7" name="Imagem 6" descr="Caminhão + Reboqu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981450"/>
          <a:ext cx="1647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123825</xdr:rowOff>
    </xdr:from>
    <xdr:to>
      <xdr:col>0</xdr:col>
      <xdr:colOff>1914525</xdr:colOff>
      <xdr:row>29</xdr:row>
      <xdr:rowOff>19050</xdr:rowOff>
    </xdr:to>
    <xdr:pic>
      <xdr:nvPicPr>
        <xdr:cNvPr id="8" name="Imagem 7" descr="Caminhão Trucado + Reboqu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535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30</xdr:row>
      <xdr:rowOff>85725</xdr:rowOff>
    </xdr:from>
    <xdr:to>
      <xdr:col>0</xdr:col>
      <xdr:colOff>1962150</xdr:colOff>
      <xdr:row>32</xdr:row>
      <xdr:rowOff>142875</xdr:rowOff>
    </xdr:to>
    <xdr:pic>
      <xdr:nvPicPr>
        <xdr:cNvPr id="9" name="Imagem 8" descr="Romeu e Juliet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48640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1552575</xdr:colOff>
      <xdr:row>37</xdr:row>
      <xdr:rowOff>209550</xdr:rowOff>
    </xdr:to>
    <xdr:pic>
      <xdr:nvPicPr>
        <xdr:cNvPr id="10" name="Imagem 9" descr="Caminhão Trator + Semi-reboqu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58075"/>
          <a:ext cx="15525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1647825</xdr:colOff>
      <xdr:row>42</xdr:row>
      <xdr:rowOff>133350</xdr:rowOff>
    </xdr:to>
    <xdr:pic>
      <xdr:nvPicPr>
        <xdr:cNvPr id="11" name="Imagem 10" descr="Caminhão Trator + Semi-reboqu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15300"/>
          <a:ext cx="1647825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1771650</xdr:colOff>
      <xdr:row>46</xdr:row>
      <xdr:rowOff>152400</xdr:rowOff>
    </xdr:to>
    <xdr:pic>
      <xdr:nvPicPr>
        <xdr:cNvPr id="12" name="Imagem 11" descr="Caminhão Trator + Semi-reboque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72525"/>
          <a:ext cx="17716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1752600</xdr:colOff>
      <xdr:row>51</xdr:row>
      <xdr:rowOff>38100</xdr:rowOff>
    </xdr:to>
    <xdr:pic>
      <xdr:nvPicPr>
        <xdr:cNvPr id="13" name="Imagem 12" descr="Caminhão Trator + Semi-reboqu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91675"/>
          <a:ext cx="17526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1781175</xdr:colOff>
      <xdr:row>55</xdr:row>
      <xdr:rowOff>47625</xdr:rowOff>
    </xdr:to>
    <xdr:pic>
      <xdr:nvPicPr>
        <xdr:cNvPr id="14" name="Imagem 13" descr="Caminhão Trator + Semi-reboque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34675"/>
          <a:ext cx="17811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1819275</xdr:colOff>
      <xdr:row>59</xdr:row>
      <xdr:rowOff>66675</xdr:rowOff>
    </xdr:to>
    <xdr:pic>
      <xdr:nvPicPr>
        <xdr:cNvPr id="15" name="Imagem 14" descr="Caminhão Trator + Semi-reboque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15750"/>
          <a:ext cx="18192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60</xdr:row>
      <xdr:rowOff>9525</xdr:rowOff>
    </xdr:from>
    <xdr:to>
      <xdr:col>0</xdr:col>
      <xdr:colOff>1685925</xdr:colOff>
      <xdr:row>63</xdr:row>
      <xdr:rowOff>133350</xdr:rowOff>
    </xdr:to>
    <xdr:pic>
      <xdr:nvPicPr>
        <xdr:cNvPr id="16" name="Imagem 15" descr="Caminhão Trator + Semi-reboque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1439525"/>
          <a:ext cx="15525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64</xdr:row>
      <xdr:rowOff>47625</xdr:rowOff>
    </xdr:from>
    <xdr:to>
      <xdr:col>0</xdr:col>
      <xdr:colOff>1781175</xdr:colOff>
      <xdr:row>67</xdr:row>
      <xdr:rowOff>161925</xdr:rowOff>
    </xdr:to>
    <xdr:pic>
      <xdr:nvPicPr>
        <xdr:cNvPr id="17" name="Imagem 16" descr="Caminhão Trator Trucado + Semi-reboque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134850"/>
          <a:ext cx="17621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19050</xdr:rowOff>
    </xdr:from>
    <xdr:to>
      <xdr:col>0</xdr:col>
      <xdr:colOff>1724025</xdr:colOff>
      <xdr:row>71</xdr:row>
      <xdr:rowOff>123825</xdr:rowOff>
    </xdr:to>
    <xdr:pic>
      <xdr:nvPicPr>
        <xdr:cNvPr id="18" name="Imagem 17" descr="Caminhão Trator Trucado + Semi-reboque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17240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72</xdr:row>
      <xdr:rowOff>209550</xdr:rowOff>
    </xdr:from>
    <xdr:to>
      <xdr:col>0</xdr:col>
      <xdr:colOff>1762125</xdr:colOff>
      <xdr:row>74</xdr:row>
      <xdr:rowOff>133350</xdr:rowOff>
    </xdr:to>
    <xdr:pic>
      <xdr:nvPicPr>
        <xdr:cNvPr id="19" name="Imagem 18" descr="Caminhão Trator Trucado + Semi-reboqu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611225"/>
          <a:ext cx="17430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1771650</xdr:colOff>
      <xdr:row>79</xdr:row>
      <xdr:rowOff>114300</xdr:rowOff>
    </xdr:to>
    <xdr:pic>
      <xdr:nvPicPr>
        <xdr:cNvPr id="20" name="Imagem 19" descr="Romeu e Julieta com 6 eixos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49575"/>
          <a:ext cx="17716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228600</xdr:rowOff>
    </xdr:from>
    <xdr:to>
      <xdr:col>0</xdr:col>
      <xdr:colOff>1724025</xdr:colOff>
      <xdr:row>83</xdr:row>
      <xdr:rowOff>28575</xdr:rowOff>
    </xdr:to>
    <xdr:pic>
      <xdr:nvPicPr>
        <xdr:cNvPr id="21" name="Imagem 20" descr="Caminhão Trator Trucado + Semi-reboque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592425"/>
          <a:ext cx="1724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84</xdr:row>
      <xdr:rowOff>114300</xdr:rowOff>
    </xdr:from>
    <xdr:to>
      <xdr:col>0</xdr:col>
      <xdr:colOff>2333625</xdr:colOff>
      <xdr:row>86</xdr:row>
      <xdr:rowOff>152400</xdr:rowOff>
    </xdr:to>
    <xdr:pic>
      <xdr:nvPicPr>
        <xdr:cNvPr id="22" name="Imagem 21" descr="Treminhão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6459200"/>
          <a:ext cx="22955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87</xdr:row>
      <xdr:rowOff>76200</xdr:rowOff>
    </xdr:from>
    <xdr:to>
      <xdr:col>0</xdr:col>
      <xdr:colOff>2333625</xdr:colOff>
      <xdr:row>89</xdr:row>
      <xdr:rowOff>114300</xdr:rowOff>
    </xdr:to>
    <xdr:pic>
      <xdr:nvPicPr>
        <xdr:cNvPr id="23" name="Imagem 22" descr="Bitrem de 7 Exos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916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295275</xdr:rowOff>
    </xdr:from>
    <xdr:to>
      <xdr:col>0</xdr:col>
      <xdr:colOff>2286000</xdr:colOff>
      <xdr:row>95</xdr:row>
      <xdr:rowOff>152400</xdr:rowOff>
    </xdr:to>
    <xdr:pic>
      <xdr:nvPicPr>
        <xdr:cNvPr id="25" name="Imagem 24" descr="Rodotrem de 9 Exos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499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2286000</xdr:colOff>
      <xdr:row>99</xdr:row>
      <xdr:rowOff>9525</xdr:rowOff>
    </xdr:to>
    <xdr:pic>
      <xdr:nvPicPr>
        <xdr:cNvPr id="26" name="Imagem 25" descr="Rodotrem de 9 Exos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644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2286000</xdr:colOff>
      <xdr:row>101</xdr:row>
      <xdr:rowOff>152400</xdr:rowOff>
    </xdr:to>
    <xdr:pic>
      <xdr:nvPicPr>
        <xdr:cNvPr id="27" name="Imagem 26" descr="Tritrem de 9 eixos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59725"/>
          <a:ext cx="22860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2286000</xdr:colOff>
      <xdr:row>105</xdr:row>
      <xdr:rowOff>28575</xdr:rowOff>
    </xdr:to>
    <xdr:pic>
      <xdr:nvPicPr>
        <xdr:cNvPr id="28" name="Imagem 27" descr="Bitrem de 8 Exos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55025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2286000</xdr:colOff>
      <xdr:row>107</xdr:row>
      <xdr:rowOff>28575</xdr:rowOff>
    </xdr:to>
    <xdr:pic>
      <xdr:nvPicPr>
        <xdr:cNvPr id="29" name="Imagem 28" descr="Bitrem de 9 eixos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650325"/>
          <a:ext cx="22860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113</xdr:row>
      <xdr:rowOff>9525</xdr:rowOff>
    </xdr:from>
    <xdr:to>
      <xdr:col>1</xdr:col>
      <xdr:colOff>942975</xdr:colOff>
      <xdr:row>114</xdr:row>
      <xdr:rowOff>57150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3421975"/>
          <a:ext cx="7143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115</xdr:row>
      <xdr:rowOff>66675</xdr:rowOff>
    </xdr:from>
    <xdr:to>
      <xdr:col>1</xdr:col>
      <xdr:colOff>1038225</xdr:colOff>
      <xdr:row>115</xdr:row>
      <xdr:rowOff>371475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4641175"/>
          <a:ext cx="8953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114300</xdr:colOff>
      <xdr:row>118</xdr:row>
      <xdr:rowOff>76200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6980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116</xdr:row>
      <xdr:rowOff>47625</xdr:rowOff>
    </xdr:from>
    <xdr:to>
      <xdr:col>1</xdr:col>
      <xdr:colOff>933450</xdr:colOff>
      <xdr:row>118</xdr:row>
      <xdr:rowOff>104775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07932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118</xdr:row>
      <xdr:rowOff>161925</xdr:rowOff>
    </xdr:from>
    <xdr:to>
      <xdr:col>1</xdr:col>
      <xdr:colOff>895350</xdr:colOff>
      <xdr:row>121</xdr:row>
      <xdr:rowOff>38100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551747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121</xdr:row>
      <xdr:rowOff>66675</xdr:rowOff>
    </xdr:from>
    <xdr:to>
      <xdr:col>1</xdr:col>
      <xdr:colOff>1028700</xdr:colOff>
      <xdr:row>123</xdr:row>
      <xdr:rowOff>228600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59270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114300</xdr:colOff>
      <xdr:row>126</xdr:row>
      <xdr:rowOff>76200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93775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123</xdr:row>
      <xdr:rowOff>276225</xdr:rowOff>
    </xdr:from>
    <xdr:to>
      <xdr:col>1</xdr:col>
      <xdr:colOff>1066800</xdr:colOff>
      <xdr:row>126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264604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114300</xdr:colOff>
      <xdr:row>128</xdr:row>
      <xdr:rowOff>76200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7271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885825</xdr:colOff>
      <xdr:row>129</xdr:row>
      <xdr:rowOff>161925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65652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114300</xdr:colOff>
      <xdr:row>131</xdr:row>
      <xdr:rowOff>76200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224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885825</xdr:colOff>
      <xdr:row>132</xdr:row>
      <xdr:rowOff>161925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0605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895350</xdr:colOff>
      <xdr:row>135</xdr:row>
      <xdr:rowOff>276225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555825"/>
          <a:ext cx="8953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114300</xdr:colOff>
      <xdr:row>137</xdr:row>
      <xdr:rowOff>76200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130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885825</xdr:colOff>
      <xdr:row>139</xdr:row>
      <xdr:rowOff>219075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051125"/>
          <a:ext cx="88582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914400</xdr:colOff>
      <xdr:row>143</xdr:row>
      <xdr:rowOff>180975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708350"/>
          <a:ext cx="9144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914400</xdr:colOff>
      <xdr:row>148</xdr:row>
      <xdr:rowOff>209550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9365575"/>
          <a:ext cx="9144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uiadotrc.com.br/lei/qresumof.asp" TargetMode="External"/><Relationship Id="rId13" Type="http://schemas.openxmlformats.org/officeDocument/2006/relationships/hyperlink" Target="http://www.guiadotrc.com.br/lei/qresumof.asp" TargetMode="External"/><Relationship Id="rId18" Type="http://schemas.openxmlformats.org/officeDocument/2006/relationships/hyperlink" Target="http://www.guiadotrc.com.br/lei/qresumof.asp" TargetMode="External"/><Relationship Id="rId3" Type="http://schemas.openxmlformats.org/officeDocument/2006/relationships/hyperlink" Target="http://www.guiadotrc.com.br/lei/qresumof.asp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http://www.guiadotrc.com.br/lei/qresumof.asp" TargetMode="External"/><Relationship Id="rId12" Type="http://schemas.openxmlformats.org/officeDocument/2006/relationships/hyperlink" Target="http://www.guiadotrc.com.br/lei/qresumof.asp" TargetMode="External"/><Relationship Id="rId17" Type="http://schemas.openxmlformats.org/officeDocument/2006/relationships/hyperlink" Target="http://www.guiadotrc.com.br/lei/qresumof.asp" TargetMode="External"/><Relationship Id="rId2" Type="http://schemas.openxmlformats.org/officeDocument/2006/relationships/hyperlink" Target="http://www.guiadotrc.com.br/lei/pesomaximopermitido.asp" TargetMode="External"/><Relationship Id="rId16" Type="http://schemas.openxmlformats.org/officeDocument/2006/relationships/hyperlink" Target="http://www.guiadotrc.com.br/lei/qresumof.asp" TargetMode="External"/><Relationship Id="rId20" Type="http://schemas.openxmlformats.org/officeDocument/2006/relationships/hyperlink" Target="http://www.guiadotrc.com.br/lei/qresumof.asp" TargetMode="External"/><Relationship Id="rId1" Type="http://schemas.openxmlformats.org/officeDocument/2006/relationships/hyperlink" Target="http://www.guiadotrc.com.br/lei/qresumof.asp" TargetMode="External"/><Relationship Id="rId6" Type="http://schemas.openxmlformats.org/officeDocument/2006/relationships/hyperlink" Target="http://www.guiadotrc.com.br/lei/qresumof.asp" TargetMode="External"/><Relationship Id="rId11" Type="http://schemas.openxmlformats.org/officeDocument/2006/relationships/hyperlink" Target="http://www.guiadotrc.com.br/lei/qresumof.asp" TargetMode="External"/><Relationship Id="rId5" Type="http://schemas.openxmlformats.org/officeDocument/2006/relationships/hyperlink" Target="http://www.guiadotrc.com.br/lei/qresumof.asp" TargetMode="External"/><Relationship Id="rId15" Type="http://schemas.openxmlformats.org/officeDocument/2006/relationships/hyperlink" Target="http://www.guiadotrc.com.br/lei/qresumof.asp" TargetMode="External"/><Relationship Id="rId10" Type="http://schemas.openxmlformats.org/officeDocument/2006/relationships/hyperlink" Target="http://www.guiadotrc.com.br/lei/qresumof.asp" TargetMode="External"/><Relationship Id="rId19" Type="http://schemas.openxmlformats.org/officeDocument/2006/relationships/hyperlink" Target="http://www.guiadotrc.com.br/lei/qresumof.asp" TargetMode="External"/><Relationship Id="rId4" Type="http://schemas.openxmlformats.org/officeDocument/2006/relationships/hyperlink" Target="http://www.dnit.gov.br/menu/rodovias/QFV.pdf" TargetMode="External"/><Relationship Id="rId9" Type="http://schemas.openxmlformats.org/officeDocument/2006/relationships/hyperlink" Target="http://www.guiadotrc.com.br/lei/qresumof.asp" TargetMode="External"/><Relationship Id="rId14" Type="http://schemas.openxmlformats.org/officeDocument/2006/relationships/hyperlink" Target="http://www.guiadotrc.com.br/lei/qresumof.asp" TargetMode="External"/><Relationship Id="rId2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0.59999389629810485"/>
  </sheetPr>
  <dimension ref="B2:S94"/>
  <sheetViews>
    <sheetView tabSelected="1" topLeftCell="A26" zoomScale="110" zoomScaleNormal="110" workbookViewId="0">
      <selection activeCell="D8" sqref="D8"/>
    </sheetView>
  </sheetViews>
  <sheetFormatPr defaultColWidth="9.09765625" defaultRowHeight="13"/>
  <cols>
    <col min="4" max="7" width="9.69921875" customWidth="1"/>
    <col min="8" max="8" width="21.69921875" hidden="1" customWidth="1"/>
    <col min="9" max="9" width="12.69921875" customWidth="1"/>
    <col min="10" max="10" width="6.09765625" customWidth="1"/>
    <col min="11" max="11" width="15.3984375" bestFit="1" customWidth="1"/>
  </cols>
  <sheetData>
    <row r="2" spans="4:19">
      <c r="K2" s="18" t="s">
        <v>14</v>
      </c>
    </row>
    <row r="5" spans="4:19" ht="13.5" thickBot="1">
      <c r="D5" s="1" t="s">
        <v>0</v>
      </c>
      <c r="E5" s="4" t="s">
        <v>3</v>
      </c>
      <c r="F5" s="4" t="s">
        <v>4</v>
      </c>
      <c r="G5" s="4" t="s">
        <v>5</v>
      </c>
      <c r="H5" s="1"/>
      <c r="I5" s="2" t="s">
        <v>1</v>
      </c>
    </row>
    <row r="6" spans="4:19" ht="13.5" thickBot="1">
      <c r="D6" s="10">
        <v>0</v>
      </c>
      <c r="E6" s="12">
        <v>83</v>
      </c>
      <c r="F6" s="12">
        <v>57</v>
      </c>
      <c r="G6" s="12">
        <v>49</v>
      </c>
      <c r="H6" s="12">
        <f t="shared" ref="H6:H8" si="0">D6*E6*F6*G6</f>
        <v>0</v>
      </c>
      <c r="I6" s="71">
        <f t="shared" ref="I6:I8" si="1">H6/6000</f>
        <v>0</v>
      </c>
      <c r="J6" s="17" t="s">
        <v>147</v>
      </c>
    </row>
    <row r="7" spans="4:19" ht="13.5" thickBot="1">
      <c r="D7" s="11">
        <v>0</v>
      </c>
      <c r="E7" s="14">
        <v>40</v>
      </c>
      <c r="F7" s="14">
        <v>32</v>
      </c>
      <c r="G7" s="14">
        <v>39</v>
      </c>
      <c r="H7" s="14">
        <f t="shared" si="0"/>
        <v>0</v>
      </c>
      <c r="I7" s="13">
        <f t="shared" si="1"/>
        <v>0</v>
      </c>
      <c r="J7" s="17" t="s">
        <v>146</v>
      </c>
      <c r="R7" s="66"/>
      <c r="S7" s="66"/>
    </row>
    <row r="8" spans="4:19">
      <c r="D8" s="3">
        <v>0</v>
      </c>
      <c r="E8" s="3">
        <v>0</v>
      </c>
      <c r="F8" s="3">
        <v>0</v>
      </c>
      <c r="G8" s="3">
        <v>0</v>
      </c>
      <c r="H8" s="3">
        <f t="shared" si="0"/>
        <v>0</v>
      </c>
      <c r="I8" s="3">
        <f t="shared" si="1"/>
        <v>0</v>
      </c>
    </row>
    <row r="9" spans="4:19">
      <c r="D9" s="3">
        <v>0</v>
      </c>
      <c r="E9" s="3">
        <v>0</v>
      </c>
      <c r="F9" s="3">
        <v>0</v>
      </c>
      <c r="G9" s="3">
        <v>0</v>
      </c>
      <c r="H9" s="3">
        <f t="shared" ref="H9" si="2">D9*E9*F9*G9</f>
        <v>0</v>
      </c>
      <c r="I9" s="3">
        <f t="shared" ref="I9" si="3">H9/6000</f>
        <v>0</v>
      </c>
      <c r="R9" s="65"/>
    </row>
    <row r="10" spans="4:19">
      <c r="D10" s="3">
        <v>0</v>
      </c>
      <c r="E10" s="3">
        <v>0</v>
      </c>
      <c r="F10" s="3">
        <v>0</v>
      </c>
      <c r="G10" s="3">
        <v>0</v>
      </c>
      <c r="H10" s="3">
        <f t="shared" ref="H10:H36" si="4">D10*E10*F10*G10</f>
        <v>0</v>
      </c>
      <c r="I10" s="3">
        <f t="shared" ref="I10:I15" si="5">H10/6000</f>
        <v>0</v>
      </c>
      <c r="P10" s="17"/>
    </row>
    <row r="11" spans="4:19">
      <c r="D11" s="3">
        <v>0</v>
      </c>
      <c r="E11" s="3">
        <v>0</v>
      </c>
      <c r="F11" s="3">
        <v>0</v>
      </c>
      <c r="G11" s="3">
        <v>0</v>
      </c>
      <c r="H11" s="3">
        <f t="shared" si="4"/>
        <v>0</v>
      </c>
      <c r="I11" s="3">
        <f t="shared" si="5"/>
        <v>0</v>
      </c>
    </row>
    <row r="12" spans="4:19">
      <c r="D12" s="3">
        <v>0</v>
      </c>
      <c r="E12" s="3">
        <v>0</v>
      </c>
      <c r="F12" s="3">
        <v>0</v>
      </c>
      <c r="G12" s="3">
        <v>0</v>
      </c>
      <c r="H12" s="3">
        <f t="shared" si="4"/>
        <v>0</v>
      </c>
      <c r="I12" s="3">
        <f t="shared" si="5"/>
        <v>0</v>
      </c>
    </row>
    <row r="13" spans="4:19">
      <c r="D13" s="3">
        <v>0</v>
      </c>
      <c r="E13" s="3">
        <v>0</v>
      </c>
      <c r="F13" s="3">
        <v>0</v>
      </c>
      <c r="G13" s="3">
        <v>0</v>
      </c>
      <c r="H13" s="3">
        <f t="shared" si="4"/>
        <v>0</v>
      </c>
      <c r="I13" s="3">
        <f t="shared" si="5"/>
        <v>0</v>
      </c>
    </row>
    <row r="14" spans="4:19">
      <c r="D14" s="3">
        <v>0</v>
      </c>
      <c r="E14" s="3">
        <v>0</v>
      </c>
      <c r="F14" s="3">
        <v>0</v>
      </c>
      <c r="G14" s="3">
        <v>0</v>
      </c>
      <c r="H14" s="3">
        <f t="shared" si="4"/>
        <v>0</v>
      </c>
      <c r="I14" s="3">
        <f t="shared" si="5"/>
        <v>0</v>
      </c>
    </row>
    <row r="15" spans="4:19">
      <c r="D15" s="3">
        <v>0</v>
      </c>
      <c r="E15" s="3">
        <v>0</v>
      </c>
      <c r="F15" s="3">
        <v>0</v>
      </c>
      <c r="G15" s="3">
        <v>0</v>
      </c>
      <c r="H15" s="3">
        <f t="shared" si="4"/>
        <v>0</v>
      </c>
      <c r="I15" s="3">
        <f t="shared" si="5"/>
        <v>0</v>
      </c>
    </row>
    <row r="16" spans="4:19">
      <c r="D16" s="3">
        <v>0</v>
      </c>
      <c r="E16" s="3">
        <v>0</v>
      </c>
      <c r="F16" s="3">
        <v>0</v>
      </c>
      <c r="G16" s="3">
        <v>0</v>
      </c>
      <c r="H16" s="3">
        <f t="shared" si="4"/>
        <v>0</v>
      </c>
      <c r="I16" s="3">
        <f t="shared" ref="I16:I19" si="6">H16/6000</f>
        <v>0</v>
      </c>
    </row>
    <row r="17" spans="4:14">
      <c r="D17" s="3">
        <v>0</v>
      </c>
      <c r="E17" s="3">
        <v>0</v>
      </c>
      <c r="F17" s="3">
        <v>0</v>
      </c>
      <c r="G17" s="3">
        <v>0</v>
      </c>
      <c r="H17" s="3">
        <f t="shared" si="4"/>
        <v>0</v>
      </c>
      <c r="I17" s="3">
        <f t="shared" si="6"/>
        <v>0</v>
      </c>
    </row>
    <row r="18" spans="4:14">
      <c r="D18" s="3">
        <v>0</v>
      </c>
      <c r="E18" s="3">
        <v>0</v>
      </c>
      <c r="F18" s="3">
        <v>0</v>
      </c>
      <c r="G18" s="3">
        <v>0</v>
      </c>
      <c r="H18" s="3">
        <f t="shared" si="4"/>
        <v>0</v>
      </c>
      <c r="I18" s="3">
        <f t="shared" si="6"/>
        <v>0</v>
      </c>
    </row>
    <row r="19" spans="4:14">
      <c r="D19" s="3">
        <v>0</v>
      </c>
      <c r="E19" s="3">
        <v>0</v>
      </c>
      <c r="F19" s="3">
        <v>0</v>
      </c>
      <c r="G19" s="3">
        <v>0</v>
      </c>
      <c r="H19" s="3">
        <f t="shared" si="4"/>
        <v>0</v>
      </c>
      <c r="I19" s="3">
        <f t="shared" si="6"/>
        <v>0</v>
      </c>
    </row>
    <row r="20" spans="4:14" s="17" customFormat="1">
      <c r="D20" s="3">
        <v>0</v>
      </c>
      <c r="E20" s="3">
        <v>0</v>
      </c>
      <c r="F20" s="3">
        <v>0</v>
      </c>
      <c r="G20" s="3">
        <v>0</v>
      </c>
      <c r="H20" s="3">
        <f t="shared" si="4"/>
        <v>0</v>
      </c>
      <c r="I20" s="3">
        <f t="shared" ref="I20:I35" si="7">H20/6000</f>
        <v>0</v>
      </c>
    </row>
    <row r="21" spans="4:14" s="17" customFormat="1">
      <c r="D21" s="3">
        <v>0</v>
      </c>
      <c r="E21" s="3">
        <v>0</v>
      </c>
      <c r="F21" s="3">
        <v>0</v>
      </c>
      <c r="G21" s="3">
        <v>0</v>
      </c>
      <c r="H21" s="3">
        <f t="shared" si="4"/>
        <v>0</v>
      </c>
      <c r="I21" s="3">
        <f t="shared" ref="I21:I24" si="8">H21/6000</f>
        <v>0</v>
      </c>
    </row>
    <row r="22" spans="4:14" s="17" customFormat="1">
      <c r="D22" s="3">
        <v>0</v>
      </c>
      <c r="E22" s="3">
        <v>0</v>
      </c>
      <c r="F22" s="3">
        <v>0</v>
      </c>
      <c r="G22" s="3">
        <v>0</v>
      </c>
      <c r="H22" s="3">
        <f t="shared" si="4"/>
        <v>0</v>
      </c>
      <c r="I22" s="3">
        <f t="shared" si="8"/>
        <v>0</v>
      </c>
    </row>
    <row r="23" spans="4:14" s="17" customFormat="1">
      <c r="D23" s="3">
        <v>0</v>
      </c>
      <c r="E23" s="3">
        <v>0</v>
      </c>
      <c r="F23" s="3">
        <v>0</v>
      </c>
      <c r="G23" s="3">
        <v>0</v>
      </c>
      <c r="H23" s="3">
        <f t="shared" si="4"/>
        <v>0</v>
      </c>
      <c r="I23" s="3">
        <f t="shared" si="8"/>
        <v>0</v>
      </c>
    </row>
    <row r="24" spans="4:14" s="17" customFormat="1">
      <c r="D24" s="3">
        <v>0</v>
      </c>
      <c r="E24" s="3">
        <v>0</v>
      </c>
      <c r="F24" s="3">
        <v>0</v>
      </c>
      <c r="G24" s="3">
        <v>0</v>
      </c>
      <c r="H24" s="3">
        <f t="shared" si="4"/>
        <v>0</v>
      </c>
      <c r="I24" s="3">
        <f t="shared" si="8"/>
        <v>0</v>
      </c>
    </row>
    <row r="25" spans="4:14">
      <c r="D25" s="3">
        <v>0</v>
      </c>
      <c r="E25" s="3">
        <v>0</v>
      </c>
      <c r="F25" s="3">
        <v>0</v>
      </c>
      <c r="G25" s="3">
        <v>0</v>
      </c>
      <c r="H25" s="3">
        <f t="shared" si="4"/>
        <v>0</v>
      </c>
      <c r="I25" s="3">
        <f t="shared" si="7"/>
        <v>0</v>
      </c>
    </row>
    <row r="26" spans="4:14">
      <c r="D26" s="3">
        <v>0</v>
      </c>
      <c r="E26" s="3">
        <v>0</v>
      </c>
      <c r="F26" s="3">
        <v>0</v>
      </c>
      <c r="G26" s="3">
        <v>0</v>
      </c>
      <c r="H26" s="3">
        <f t="shared" si="4"/>
        <v>0</v>
      </c>
      <c r="I26" s="3">
        <f t="shared" si="7"/>
        <v>0</v>
      </c>
      <c r="N26" s="9"/>
    </row>
    <row r="27" spans="4:14">
      <c r="D27" s="3">
        <v>0</v>
      </c>
      <c r="E27" s="3">
        <v>0</v>
      </c>
      <c r="F27" s="3">
        <v>0</v>
      </c>
      <c r="G27" s="3">
        <v>0</v>
      </c>
      <c r="H27" s="3">
        <f t="shared" si="4"/>
        <v>0</v>
      </c>
      <c r="I27" s="3">
        <f t="shared" si="7"/>
        <v>0</v>
      </c>
    </row>
    <row r="28" spans="4:14">
      <c r="D28" s="3">
        <v>0</v>
      </c>
      <c r="E28" s="3">
        <v>0</v>
      </c>
      <c r="F28" s="3">
        <v>0</v>
      </c>
      <c r="G28" s="3">
        <v>0</v>
      </c>
      <c r="H28" s="3">
        <f t="shared" si="4"/>
        <v>0</v>
      </c>
      <c r="I28" s="3">
        <f t="shared" ref="I28:I33" si="9">H28/6000</f>
        <v>0</v>
      </c>
    </row>
    <row r="29" spans="4:14">
      <c r="D29" s="3">
        <v>0</v>
      </c>
      <c r="E29" s="3">
        <v>0</v>
      </c>
      <c r="F29" s="3">
        <v>0</v>
      </c>
      <c r="G29" s="3">
        <v>0</v>
      </c>
      <c r="H29" s="3">
        <f t="shared" si="4"/>
        <v>0</v>
      </c>
      <c r="I29" s="3">
        <f t="shared" si="9"/>
        <v>0</v>
      </c>
    </row>
    <row r="30" spans="4:14">
      <c r="D30" s="3">
        <v>0</v>
      </c>
      <c r="E30" s="3">
        <v>0</v>
      </c>
      <c r="F30" s="3">
        <v>0</v>
      </c>
      <c r="G30" s="3">
        <v>0</v>
      </c>
      <c r="H30" s="3">
        <f t="shared" si="4"/>
        <v>0</v>
      </c>
      <c r="I30" s="3">
        <f t="shared" si="9"/>
        <v>0</v>
      </c>
    </row>
    <row r="31" spans="4:14">
      <c r="D31" s="3">
        <v>0</v>
      </c>
      <c r="E31" s="3">
        <v>0</v>
      </c>
      <c r="F31" s="3">
        <v>0</v>
      </c>
      <c r="G31" s="3">
        <v>0</v>
      </c>
      <c r="H31" s="3">
        <f t="shared" si="4"/>
        <v>0</v>
      </c>
      <c r="I31" s="3">
        <f t="shared" ref="I31:I32" si="10">H31/6000</f>
        <v>0</v>
      </c>
    </row>
    <row r="32" spans="4:14">
      <c r="D32" s="3">
        <v>0</v>
      </c>
      <c r="E32" s="3">
        <v>0</v>
      </c>
      <c r="F32" s="3">
        <v>0</v>
      </c>
      <c r="G32" s="3">
        <v>0</v>
      </c>
      <c r="H32" s="3">
        <f t="shared" si="4"/>
        <v>0</v>
      </c>
      <c r="I32" s="3">
        <f t="shared" si="10"/>
        <v>0</v>
      </c>
    </row>
    <row r="33" spans="2:12">
      <c r="D33" s="3">
        <v>0</v>
      </c>
      <c r="E33" s="3">
        <v>0</v>
      </c>
      <c r="F33" s="3">
        <v>0</v>
      </c>
      <c r="G33" s="3">
        <v>0</v>
      </c>
      <c r="H33" s="3">
        <f t="shared" si="4"/>
        <v>0</v>
      </c>
      <c r="I33" s="3">
        <f t="shared" si="9"/>
        <v>0</v>
      </c>
      <c r="L33" s="17" t="s">
        <v>13</v>
      </c>
    </row>
    <row r="34" spans="2:12">
      <c r="D34" s="3">
        <v>0</v>
      </c>
      <c r="E34" s="3">
        <v>0</v>
      </c>
      <c r="F34" s="3">
        <v>0</v>
      </c>
      <c r="G34" s="3">
        <v>0</v>
      </c>
      <c r="H34" s="3">
        <f t="shared" si="4"/>
        <v>0</v>
      </c>
      <c r="I34" s="3">
        <f t="shared" si="7"/>
        <v>0</v>
      </c>
    </row>
    <row r="35" spans="2:12" ht="13.5" thickBot="1">
      <c r="D35" s="3">
        <v>0</v>
      </c>
      <c r="E35" s="3">
        <v>0</v>
      </c>
      <c r="F35" s="3">
        <v>0</v>
      </c>
      <c r="G35" s="3">
        <v>0</v>
      </c>
      <c r="H35" s="68">
        <f t="shared" si="4"/>
        <v>0</v>
      </c>
      <c r="I35" s="68">
        <f t="shared" si="7"/>
        <v>0</v>
      </c>
    </row>
    <row r="36" spans="2:12" ht="29" thickBot="1">
      <c r="C36" s="7" t="s">
        <v>2</v>
      </c>
      <c r="D36" s="72">
        <f>SUM(D6:D35)</f>
        <v>0</v>
      </c>
      <c r="E36" s="73"/>
      <c r="F36" s="73"/>
      <c r="G36" s="74"/>
      <c r="H36" s="70">
        <f t="shared" si="4"/>
        <v>0</v>
      </c>
      <c r="I36" s="37">
        <f>SUM(I6:I35)</f>
        <v>0</v>
      </c>
      <c r="J36" s="8" t="s">
        <v>6</v>
      </c>
    </row>
    <row r="37" spans="2:12">
      <c r="D37" s="69"/>
      <c r="E37" s="69"/>
      <c r="F37" s="69"/>
      <c r="G37" s="69"/>
      <c r="H37" s="69"/>
      <c r="K37" s="9"/>
    </row>
    <row r="38" spans="2:12">
      <c r="B38" s="9"/>
      <c r="D38" s="69"/>
      <c r="E38" s="69"/>
      <c r="F38" s="69"/>
      <c r="G38" s="69"/>
      <c r="H38" s="69"/>
    </row>
    <row r="39" spans="2:12">
      <c r="D39" s="69"/>
      <c r="E39" s="69"/>
      <c r="F39" s="69"/>
      <c r="G39" s="69"/>
      <c r="H39" s="69"/>
    </row>
    <row r="40" spans="2:12">
      <c r="D40" s="69"/>
      <c r="E40" s="69"/>
      <c r="F40" s="69"/>
      <c r="G40" s="69"/>
      <c r="H40" s="69"/>
    </row>
    <row r="41" spans="2:12">
      <c r="D41" s="69"/>
      <c r="E41" s="69"/>
      <c r="F41" s="69"/>
      <c r="G41" s="69"/>
      <c r="H41" s="69"/>
    </row>
    <row r="42" spans="2:12">
      <c r="D42" s="69"/>
      <c r="E42" s="69"/>
      <c r="F42" s="69"/>
      <c r="G42" s="69"/>
      <c r="H42" s="69"/>
    </row>
    <row r="43" spans="2:12">
      <c r="D43" s="69"/>
      <c r="E43" s="69"/>
      <c r="F43" s="69"/>
      <c r="G43" s="69"/>
      <c r="H43" s="69"/>
    </row>
    <row r="44" spans="2:12">
      <c r="D44" s="69"/>
      <c r="E44" s="69"/>
      <c r="F44" s="69"/>
      <c r="G44" s="69"/>
      <c r="H44" s="69"/>
    </row>
    <row r="45" spans="2:12">
      <c r="D45" s="69"/>
      <c r="E45" s="69"/>
      <c r="F45" s="69"/>
      <c r="G45" s="69"/>
      <c r="H45" s="69"/>
    </row>
    <row r="46" spans="2:12">
      <c r="D46" s="69"/>
      <c r="E46" s="69"/>
      <c r="F46" s="69"/>
      <c r="G46" s="69"/>
      <c r="H46" s="69"/>
    </row>
    <row r="47" spans="2:12">
      <c r="D47" s="69"/>
      <c r="E47" s="69"/>
      <c r="F47" s="69"/>
      <c r="G47" s="69"/>
      <c r="H47" s="69"/>
    </row>
    <row r="48" spans="2:12">
      <c r="D48" s="69"/>
      <c r="E48" s="69"/>
      <c r="F48" s="69"/>
      <c r="G48" s="69"/>
      <c r="H48" s="69"/>
    </row>
    <row r="49" spans="4:8">
      <c r="D49" s="69"/>
      <c r="E49" s="69"/>
      <c r="F49" s="69"/>
      <c r="G49" s="69"/>
      <c r="H49" s="69"/>
    </row>
    <row r="50" spans="4:8">
      <c r="D50" s="69"/>
      <c r="E50" s="69"/>
      <c r="F50" s="69"/>
      <c r="G50" s="69"/>
      <c r="H50" s="69"/>
    </row>
    <row r="51" spans="4:8">
      <c r="D51" s="69"/>
      <c r="E51" s="69"/>
      <c r="F51" s="69"/>
      <c r="G51" s="69"/>
      <c r="H51" s="69"/>
    </row>
    <row r="52" spans="4:8">
      <c r="D52" s="69"/>
      <c r="E52" s="69"/>
      <c r="F52" s="69"/>
      <c r="G52" s="69"/>
      <c r="H52" s="69"/>
    </row>
    <row r="53" spans="4:8">
      <c r="D53" s="69"/>
      <c r="E53" s="69"/>
      <c r="F53" s="69"/>
      <c r="G53" s="69"/>
      <c r="H53" s="69"/>
    </row>
    <row r="54" spans="4:8">
      <c r="D54" s="69"/>
      <c r="E54" s="69"/>
      <c r="F54" s="69"/>
      <c r="G54" s="69"/>
      <c r="H54" s="69"/>
    </row>
    <row r="55" spans="4:8">
      <c r="D55" s="69"/>
      <c r="E55" s="69"/>
      <c r="F55" s="69"/>
      <c r="G55" s="69"/>
      <c r="H55" s="69"/>
    </row>
    <row r="56" spans="4:8">
      <c r="D56" s="69"/>
      <c r="E56" s="69"/>
      <c r="F56" s="69"/>
      <c r="G56" s="69"/>
      <c r="H56" s="69"/>
    </row>
    <row r="57" spans="4:8">
      <c r="D57" s="69"/>
      <c r="E57" s="69"/>
      <c r="F57" s="69"/>
      <c r="G57" s="69"/>
      <c r="H57" s="69"/>
    </row>
    <row r="58" spans="4:8">
      <c r="D58" s="69"/>
      <c r="E58" s="69"/>
      <c r="F58" s="69"/>
      <c r="G58" s="69"/>
      <c r="H58" s="69"/>
    </row>
    <row r="59" spans="4:8">
      <c r="D59" s="69"/>
      <c r="E59" s="69"/>
      <c r="F59" s="69"/>
      <c r="G59" s="69"/>
      <c r="H59" s="69"/>
    </row>
    <row r="60" spans="4:8">
      <c r="D60" s="69"/>
      <c r="E60" s="69"/>
      <c r="F60" s="69"/>
      <c r="G60" s="69"/>
      <c r="H60" s="69"/>
    </row>
    <row r="61" spans="4:8">
      <c r="D61" s="69"/>
      <c r="E61" s="69"/>
      <c r="F61" s="69"/>
      <c r="G61" s="69"/>
      <c r="H61" s="69"/>
    </row>
    <row r="62" spans="4:8">
      <c r="D62" s="69"/>
      <c r="E62" s="69"/>
      <c r="F62" s="69"/>
      <c r="G62" s="69"/>
      <c r="H62" s="69"/>
    </row>
    <row r="63" spans="4:8">
      <c r="D63" s="69"/>
      <c r="E63" s="69"/>
      <c r="F63" s="69"/>
      <c r="G63" s="69"/>
      <c r="H63" s="69"/>
    </row>
    <row r="64" spans="4:8">
      <c r="D64" s="69"/>
      <c r="E64" s="69"/>
      <c r="F64" s="69"/>
      <c r="G64" s="69"/>
      <c r="H64" s="69"/>
    </row>
    <row r="65" spans="4:8">
      <c r="D65" s="69"/>
      <c r="E65" s="69"/>
      <c r="F65" s="69"/>
      <c r="G65" s="69"/>
      <c r="H65" s="69"/>
    </row>
    <row r="66" spans="4:8">
      <c r="D66" s="69"/>
      <c r="E66" s="69"/>
      <c r="F66" s="69"/>
      <c r="G66" s="69"/>
      <c r="H66" s="69"/>
    </row>
    <row r="67" spans="4:8">
      <c r="D67" s="69"/>
      <c r="E67" s="69"/>
      <c r="F67" s="69"/>
      <c r="G67" s="69"/>
      <c r="H67" s="69"/>
    </row>
    <row r="68" spans="4:8">
      <c r="D68" s="69"/>
      <c r="E68" s="69"/>
      <c r="F68" s="69"/>
      <c r="G68" s="69"/>
      <c r="H68" s="69"/>
    </row>
    <row r="69" spans="4:8">
      <c r="D69" s="69"/>
      <c r="E69" s="69"/>
      <c r="F69" s="69"/>
      <c r="G69" s="69"/>
      <c r="H69" s="69"/>
    </row>
    <row r="70" spans="4:8">
      <c r="D70" s="69"/>
      <c r="E70" s="69"/>
      <c r="F70" s="69"/>
      <c r="G70" s="69"/>
      <c r="H70" s="69"/>
    </row>
    <row r="71" spans="4:8">
      <c r="D71" s="69"/>
      <c r="E71" s="69"/>
      <c r="F71" s="69"/>
      <c r="G71" s="69"/>
      <c r="H71" s="69"/>
    </row>
    <row r="72" spans="4:8">
      <c r="D72" s="69"/>
      <c r="E72" s="69"/>
      <c r="F72" s="69"/>
      <c r="G72" s="69"/>
      <c r="H72" s="69"/>
    </row>
    <row r="73" spans="4:8">
      <c r="D73" s="69"/>
      <c r="E73" s="69"/>
      <c r="F73" s="69"/>
      <c r="G73" s="69"/>
      <c r="H73" s="69"/>
    </row>
    <row r="74" spans="4:8">
      <c r="D74" s="69"/>
      <c r="E74" s="69"/>
      <c r="F74" s="69"/>
      <c r="G74" s="69"/>
      <c r="H74" s="69"/>
    </row>
    <row r="75" spans="4:8">
      <c r="D75" s="69"/>
      <c r="E75" s="69"/>
      <c r="F75" s="69"/>
      <c r="G75" s="69"/>
      <c r="H75" s="69"/>
    </row>
    <row r="76" spans="4:8">
      <c r="D76" s="69"/>
      <c r="E76" s="69"/>
      <c r="F76" s="69"/>
      <c r="G76" s="69"/>
      <c r="H76" s="69"/>
    </row>
    <row r="77" spans="4:8">
      <c r="D77" s="69"/>
      <c r="E77" s="69"/>
      <c r="F77" s="69"/>
      <c r="G77" s="69"/>
      <c r="H77" s="69"/>
    </row>
    <row r="78" spans="4:8">
      <c r="D78" s="69"/>
      <c r="E78" s="69"/>
      <c r="F78" s="69"/>
      <c r="G78" s="69"/>
      <c r="H78" s="69"/>
    </row>
    <row r="79" spans="4:8">
      <c r="D79" s="69"/>
      <c r="E79" s="69"/>
      <c r="F79" s="69"/>
      <c r="G79" s="69"/>
      <c r="H79" s="69"/>
    </row>
    <row r="80" spans="4:8">
      <c r="D80" s="69"/>
      <c r="E80" s="69"/>
      <c r="F80" s="69"/>
      <c r="G80" s="69"/>
      <c r="H80" s="69"/>
    </row>
    <row r="81" spans="4:8">
      <c r="D81" s="69"/>
      <c r="E81" s="69"/>
      <c r="F81" s="69"/>
      <c r="G81" s="69"/>
      <c r="H81" s="69"/>
    </row>
    <row r="82" spans="4:8">
      <c r="D82" s="69"/>
      <c r="E82" s="69"/>
      <c r="F82" s="69"/>
      <c r="G82" s="69"/>
      <c r="H82" s="69"/>
    </row>
    <row r="83" spans="4:8">
      <c r="D83" s="69"/>
      <c r="E83" s="69"/>
      <c r="F83" s="69"/>
      <c r="G83" s="69"/>
      <c r="H83" s="69"/>
    </row>
    <row r="84" spans="4:8">
      <c r="D84" s="69"/>
      <c r="E84" s="69"/>
      <c r="F84" s="69"/>
      <c r="G84" s="69"/>
      <c r="H84" s="69"/>
    </row>
    <row r="85" spans="4:8">
      <c r="D85" s="69"/>
      <c r="E85" s="69"/>
      <c r="F85" s="69"/>
      <c r="G85" s="69"/>
      <c r="H85" s="69"/>
    </row>
    <row r="86" spans="4:8">
      <c r="D86" s="69"/>
      <c r="E86" s="69"/>
      <c r="F86" s="69"/>
      <c r="G86" s="69"/>
      <c r="H86" s="69"/>
    </row>
    <row r="87" spans="4:8">
      <c r="D87" s="69"/>
      <c r="E87" s="69"/>
      <c r="F87" s="69"/>
      <c r="G87" s="69"/>
      <c r="H87" s="69"/>
    </row>
    <row r="88" spans="4:8">
      <c r="D88" s="69"/>
      <c r="E88" s="69"/>
      <c r="F88" s="69"/>
      <c r="G88" s="69"/>
      <c r="H88" s="69"/>
    </row>
    <row r="89" spans="4:8">
      <c r="D89" s="69"/>
      <c r="E89" s="69"/>
      <c r="F89" s="69"/>
      <c r="G89" s="69"/>
      <c r="H89" s="69"/>
    </row>
    <row r="90" spans="4:8">
      <c r="D90" s="69"/>
      <c r="E90" s="69"/>
      <c r="F90" s="69"/>
      <c r="G90" s="69"/>
      <c r="H90" s="69"/>
    </row>
    <row r="91" spans="4:8">
      <c r="D91" s="69"/>
      <c r="E91" s="69"/>
      <c r="F91" s="69"/>
      <c r="G91" s="69"/>
      <c r="H91" s="69"/>
    </row>
    <row r="92" spans="4:8">
      <c r="D92" s="69"/>
      <c r="E92" s="69"/>
      <c r="F92" s="69"/>
      <c r="G92" s="69"/>
      <c r="H92" s="69"/>
    </row>
    <row r="93" spans="4:8">
      <c r="D93" s="69"/>
      <c r="E93" s="69"/>
      <c r="F93" s="69"/>
      <c r="G93" s="69"/>
      <c r="H93" s="69"/>
    </row>
    <row r="94" spans="4:8">
      <c r="D94" s="69"/>
      <c r="E94" s="69"/>
      <c r="F94" s="69"/>
      <c r="G94" s="69"/>
      <c r="H94" s="69"/>
    </row>
  </sheetData>
  <mergeCells count="1">
    <mergeCell ref="D36:G36"/>
  </mergeCells>
  <dataValidations count="1">
    <dataValidation type="whole" allowBlank="1" showErrorMessage="1" errorTitle="ERRO" error="APENAS NÚMEROS" sqref="E37:G94 E6:G35 D6:D94" xr:uid="{0172C919-08C6-4663-ACC6-F66CCF8B9DB4}">
      <formula1>0</formula1>
      <formula2>100000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rCubagem">
                <anchor moveWithCells="1" sizeWithCells="1">
                  <from>
                    <xdr:col>0</xdr:col>
                    <xdr:colOff>184150</xdr:colOff>
                    <xdr:row>16</xdr:row>
                    <xdr:rowOff>127000</xdr:rowOff>
                  </from>
                  <to>
                    <xdr:col>2</xdr:col>
                    <xdr:colOff>266700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49D76-5F57-4FE9-AD06-31CFB0EB50CE}">
  <sheetPr codeName="Planilha2">
    <tabColor rgb="FFED7D31"/>
  </sheetPr>
  <dimension ref="C2:O132"/>
  <sheetViews>
    <sheetView zoomScaleNormal="100" workbookViewId="0">
      <selection activeCell="B17" sqref="B17"/>
    </sheetView>
  </sheetViews>
  <sheetFormatPr defaultColWidth="9.09765625" defaultRowHeight="13"/>
  <cols>
    <col min="4" max="4" width="12.296875" bestFit="1" customWidth="1"/>
    <col min="8" max="8" width="7.69921875" customWidth="1"/>
    <col min="9" max="9" width="9" bestFit="1" customWidth="1"/>
    <col min="10" max="10" width="21" bestFit="1" customWidth="1"/>
    <col min="11" max="11" width="15.59765625" bestFit="1" customWidth="1"/>
  </cols>
  <sheetData>
    <row r="2" spans="4:12">
      <c r="K2" s="18" t="s">
        <v>14</v>
      </c>
    </row>
    <row r="4" spans="4:12" ht="13.5" thickBot="1"/>
    <row r="5" spans="4:12" ht="31.5" thickBot="1">
      <c r="D5" s="27" t="s">
        <v>0</v>
      </c>
      <c r="E5" s="28" t="s">
        <v>7</v>
      </c>
      <c r="F5" s="28" t="s">
        <v>8</v>
      </c>
      <c r="G5" s="28" t="s">
        <v>9</v>
      </c>
      <c r="H5" s="38" t="s">
        <v>15</v>
      </c>
      <c r="I5" s="29" t="s">
        <v>10</v>
      </c>
      <c r="J5" s="39" t="s">
        <v>1</v>
      </c>
      <c r="L5" s="9"/>
    </row>
    <row r="6" spans="4:12">
      <c r="D6" s="24">
        <v>0</v>
      </c>
      <c r="E6" s="25">
        <v>0.83</v>
      </c>
      <c r="F6" s="25">
        <v>0.56999999999999995</v>
      </c>
      <c r="G6" s="25">
        <v>0.5</v>
      </c>
      <c r="H6" s="34">
        <v>0</v>
      </c>
      <c r="I6" s="30">
        <f t="shared" ref="I6:I129" si="0">D6*E6*F6*G6</f>
        <v>0</v>
      </c>
      <c r="J6" s="26">
        <f>I6*300</f>
        <v>0</v>
      </c>
    </row>
    <row r="7" spans="4:12" ht="13.5" thickBot="1">
      <c r="D7" s="11">
        <v>0</v>
      </c>
      <c r="E7" s="20">
        <v>0.4</v>
      </c>
      <c r="F7" s="20">
        <v>0.32</v>
      </c>
      <c r="G7" s="20">
        <v>0.39</v>
      </c>
      <c r="H7" s="35">
        <v>0</v>
      </c>
      <c r="I7" s="31">
        <f t="shared" si="0"/>
        <v>0</v>
      </c>
      <c r="J7" s="15">
        <f t="shared" ref="J7:J129" si="1">I7*300</f>
        <v>0</v>
      </c>
    </row>
    <row r="8" spans="4:12" ht="13.5" thickBot="1">
      <c r="D8" s="67">
        <v>0</v>
      </c>
      <c r="E8" s="67">
        <v>0</v>
      </c>
      <c r="F8" s="67">
        <v>0</v>
      </c>
      <c r="G8" s="67">
        <v>0</v>
      </c>
      <c r="H8" s="16">
        <v>0</v>
      </c>
      <c r="I8" s="32">
        <f t="shared" si="0"/>
        <v>0</v>
      </c>
      <c r="J8" s="21">
        <f>I8*300</f>
        <v>0</v>
      </c>
    </row>
    <row r="9" spans="4:12" ht="13.5" thickBot="1">
      <c r="D9" s="67">
        <v>0</v>
      </c>
      <c r="E9" s="67">
        <v>0</v>
      </c>
      <c r="F9" s="67">
        <v>0</v>
      </c>
      <c r="G9" s="67">
        <v>0</v>
      </c>
      <c r="H9" s="16">
        <v>0</v>
      </c>
      <c r="I9" s="33">
        <f t="shared" si="0"/>
        <v>0</v>
      </c>
      <c r="J9" s="23">
        <f t="shared" si="1"/>
        <v>0</v>
      </c>
    </row>
    <row r="10" spans="4:12" ht="13.5" thickBot="1">
      <c r="D10" s="67">
        <v>0</v>
      </c>
      <c r="E10" s="67">
        <v>0</v>
      </c>
      <c r="F10" s="67">
        <v>0</v>
      </c>
      <c r="G10" s="67">
        <v>0</v>
      </c>
      <c r="H10" s="16">
        <v>0</v>
      </c>
      <c r="I10" s="33">
        <f t="shared" ref="I10:I20" si="2">D10*E10*F10*G10</f>
        <v>0</v>
      </c>
      <c r="J10" s="23">
        <f t="shared" ref="J10:J20" si="3">I10*300</f>
        <v>0</v>
      </c>
    </row>
    <row r="11" spans="4:12" ht="13.5" thickBot="1">
      <c r="D11" s="67">
        <v>0</v>
      </c>
      <c r="E11" s="67">
        <v>0</v>
      </c>
      <c r="F11" s="67">
        <v>0</v>
      </c>
      <c r="G11" s="67">
        <v>0</v>
      </c>
      <c r="H11" s="16">
        <v>0</v>
      </c>
      <c r="I11" s="33">
        <f t="shared" si="2"/>
        <v>0</v>
      </c>
      <c r="J11" s="23">
        <f t="shared" si="3"/>
        <v>0</v>
      </c>
    </row>
    <row r="12" spans="4:12" ht="13.5" thickBot="1">
      <c r="D12" s="67">
        <v>0</v>
      </c>
      <c r="E12" s="67">
        <v>0</v>
      </c>
      <c r="F12" s="67">
        <v>0</v>
      </c>
      <c r="G12" s="67">
        <v>0</v>
      </c>
      <c r="H12" s="16">
        <v>0</v>
      </c>
      <c r="I12" s="33">
        <f t="shared" si="2"/>
        <v>0</v>
      </c>
      <c r="J12" s="23">
        <f t="shared" si="3"/>
        <v>0</v>
      </c>
    </row>
    <row r="13" spans="4:12" ht="13.5" thickBot="1">
      <c r="D13" s="67">
        <v>0</v>
      </c>
      <c r="E13" s="67">
        <v>0</v>
      </c>
      <c r="F13" s="67">
        <v>0</v>
      </c>
      <c r="G13" s="67">
        <v>0</v>
      </c>
      <c r="H13" s="16">
        <v>0</v>
      </c>
      <c r="I13" s="33">
        <f t="shared" si="2"/>
        <v>0</v>
      </c>
      <c r="J13" s="23">
        <f t="shared" si="3"/>
        <v>0</v>
      </c>
    </row>
    <row r="14" spans="4:12" ht="13.5" thickBot="1">
      <c r="D14" s="67">
        <v>0</v>
      </c>
      <c r="E14" s="67">
        <v>0</v>
      </c>
      <c r="F14" s="67">
        <v>0</v>
      </c>
      <c r="G14" s="67">
        <v>0</v>
      </c>
      <c r="H14" s="16">
        <v>0</v>
      </c>
      <c r="I14" s="33">
        <f t="shared" ref="I14:I17" si="4">D14*E14*F14*G14</f>
        <v>0</v>
      </c>
      <c r="J14" s="23">
        <f t="shared" ref="J14:J17" si="5">I14*300</f>
        <v>0</v>
      </c>
    </row>
    <row r="15" spans="4:12" ht="13.5" thickBot="1">
      <c r="D15" s="67">
        <v>0</v>
      </c>
      <c r="E15" s="67">
        <v>0</v>
      </c>
      <c r="F15" s="67">
        <v>0</v>
      </c>
      <c r="G15" s="67">
        <v>0</v>
      </c>
      <c r="H15" s="16">
        <v>0</v>
      </c>
      <c r="I15" s="33">
        <f t="shared" si="4"/>
        <v>0</v>
      </c>
      <c r="J15" s="23">
        <f t="shared" si="5"/>
        <v>0</v>
      </c>
    </row>
    <row r="16" spans="4:12" ht="13.5" thickBot="1">
      <c r="D16" s="67">
        <v>0</v>
      </c>
      <c r="E16" s="67">
        <v>0</v>
      </c>
      <c r="F16" s="67">
        <v>0</v>
      </c>
      <c r="G16" s="67">
        <v>0</v>
      </c>
      <c r="H16" s="16">
        <v>0</v>
      </c>
      <c r="I16" s="33">
        <f t="shared" si="4"/>
        <v>0</v>
      </c>
      <c r="J16" s="23">
        <f t="shared" si="5"/>
        <v>0</v>
      </c>
    </row>
    <row r="17" spans="4:10" ht="13.5" thickBot="1">
      <c r="D17" s="67">
        <v>0</v>
      </c>
      <c r="E17" s="67">
        <v>0</v>
      </c>
      <c r="F17" s="67">
        <v>0</v>
      </c>
      <c r="G17" s="67">
        <v>0</v>
      </c>
      <c r="H17" s="16">
        <v>0</v>
      </c>
      <c r="I17" s="33">
        <f t="shared" si="4"/>
        <v>0</v>
      </c>
      <c r="J17" s="23">
        <f t="shared" si="5"/>
        <v>0</v>
      </c>
    </row>
    <row r="18" spans="4:10" ht="13.5" thickBot="1">
      <c r="D18" s="67">
        <v>0</v>
      </c>
      <c r="E18" s="67">
        <v>0</v>
      </c>
      <c r="F18" s="67">
        <v>0</v>
      </c>
      <c r="G18" s="67">
        <v>0</v>
      </c>
      <c r="H18" s="16">
        <v>0</v>
      </c>
      <c r="I18" s="33">
        <f t="shared" si="2"/>
        <v>0</v>
      </c>
      <c r="J18" s="23">
        <f t="shared" si="3"/>
        <v>0</v>
      </c>
    </row>
    <row r="19" spans="4:10" ht="13.5" thickBot="1">
      <c r="D19" s="67">
        <v>0</v>
      </c>
      <c r="E19" s="67">
        <v>0</v>
      </c>
      <c r="F19" s="67">
        <v>0</v>
      </c>
      <c r="G19" s="67">
        <v>0</v>
      </c>
      <c r="H19" s="16">
        <v>0</v>
      </c>
      <c r="I19" s="33">
        <f t="shared" si="2"/>
        <v>0</v>
      </c>
      <c r="J19" s="23">
        <f t="shared" si="3"/>
        <v>0</v>
      </c>
    </row>
    <row r="20" spans="4:10" ht="13.5" thickBot="1">
      <c r="D20" s="67">
        <v>0</v>
      </c>
      <c r="E20" s="67">
        <v>0</v>
      </c>
      <c r="F20" s="67">
        <v>0</v>
      </c>
      <c r="G20" s="67">
        <v>0</v>
      </c>
      <c r="H20" s="16">
        <v>0</v>
      </c>
      <c r="I20" s="33">
        <f t="shared" si="2"/>
        <v>0</v>
      </c>
      <c r="J20" s="23">
        <f t="shared" si="3"/>
        <v>0</v>
      </c>
    </row>
    <row r="21" spans="4:10" ht="13.5" thickBot="1">
      <c r="D21" s="67">
        <v>0</v>
      </c>
      <c r="E21" s="67">
        <v>0</v>
      </c>
      <c r="F21" s="67">
        <v>0</v>
      </c>
      <c r="G21" s="67">
        <v>0</v>
      </c>
      <c r="H21" s="16">
        <v>0</v>
      </c>
      <c r="I21" s="33">
        <f t="shared" ref="I21:I26" si="6">D21*E21*F21*G21</f>
        <v>0</v>
      </c>
      <c r="J21" s="23">
        <f t="shared" si="1"/>
        <v>0</v>
      </c>
    </row>
    <row r="22" spans="4:10" ht="13.5" thickBot="1">
      <c r="D22" s="67">
        <v>0</v>
      </c>
      <c r="E22" s="67">
        <v>0</v>
      </c>
      <c r="F22" s="67">
        <v>0</v>
      </c>
      <c r="G22" s="67">
        <v>0</v>
      </c>
      <c r="H22" s="16">
        <v>0</v>
      </c>
      <c r="I22" s="33">
        <f t="shared" si="6"/>
        <v>0</v>
      </c>
      <c r="J22" s="23">
        <f t="shared" si="1"/>
        <v>0</v>
      </c>
    </row>
    <row r="23" spans="4:10" ht="13.5" thickBot="1">
      <c r="D23" s="67">
        <v>0</v>
      </c>
      <c r="E23" s="67">
        <v>0</v>
      </c>
      <c r="F23" s="67">
        <v>0</v>
      </c>
      <c r="G23" s="67">
        <v>0</v>
      </c>
      <c r="H23" s="16">
        <v>0</v>
      </c>
      <c r="I23" s="33">
        <f t="shared" si="6"/>
        <v>0</v>
      </c>
      <c r="J23" s="23">
        <f t="shared" si="1"/>
        <v>0</v>
      </c>
    </row>
    <row r="24" spans="4:10" ht="13.5" thickBot="1">
      <c r="D24" s="67">
        <v>0</v>
      </c>
      <c r="E24" s="67">
        <v>0</v>
      </c>
      <c r="F24" s="67">
        <v>0</v>
      </c>
      <c r="G24" s="67">
        <v>0</v>
      </c>
      <c r="H24" s="16">
        <v>0</v>
      </c>
      <c r="I24" s="33">
        <f t="shared" si="6"/>
        <v>0</v>
      </c>
      <c r="J24" s="23">
        <f t="shared" si="1"/>
        <v>0</v>
      </c>
    </row>
    <row r="25" spans="4:10" ht="13.5" thickBot="1">
      <c r="D25" s="67">
        <v>0</v>
      </c>
      <c r="E25" s="67">
        <v>0</v>
      </c>
      <c r="F25" s="67">
        <v>0</v>
      </c>
      <c r="G25" s="67">
        <v>0</v>
      </c>
      <c r="H25" s="16">
        <v>0</v>
      </c>
      <c r="I25" s="33">
        <f t="shared" si="6"/>
        <v>0</v>
      </c>
      <c r="J25" s="23">
        <f t="shared" si="1"/>
        <v>0</v>
      </c>
    </row>
    <row r="26" spans="4:10" ht="13.5" thickBot="1">
      <c r="D26" s="67">
        <v>0</v>
      </c>
      <c r="E26" s="67">
        <v>0</v>
      </c>
      <c r="F26" s="67">
        <v>0</v>
      </c>
      <c r="G26" s="67">
        <v>0</v>
      </c>
      <c r="H26" s="16">
        <v>0</v>
      </c>
      <c r="I26" s="33">
        <f t="shared" si="6"/>
        <v>0</v>
      </c>
      <c r="J26" s="23">
        <f t="shared" si="1"/>
        <v>0</v>
      </c>
    </row>
    <row r="27" spans="4:10" ht="13.5" thickBot="1">
      <c r="D27" s="67">
        <v>0</v>
      </c>
      <c r="E27" s="67">
        <v>0</v>
      </c>
      <c r="F27" s="67">
        <v>0</v>
      </c>
      <c r="G27" s="67">
        <v>0</v>
      </c>
      <c r="H27" s="16">
        <v>0</v>
      </c>
      <c r="I27" s="33">
        <f t="shared" ref="I27:I35" si="7">D27*E27*F27*G27</f>
        <v>0</v>
      </c>
      <c r="J27" s="23">
        <f t="shared" si="1"/>
        <v>0</v>
      </c>
    </row>
    <row r="28" spans="4:10" ht="13.5" thickBot="1">
      <c r="D28" s="67">
        <v>0</v>
      </c>
      <c r="E28" s="67">
        <v>0</v>
      </c>
      <c r="F28" s="67">
        <v>0</v>
      </c>
      <c r="G28" s="67">
        <v>0</v>
      </c>
      <c r="H28" s="16">
        <v>0</v>
      </c>
      <c r="I28" s="33">
        <f t="shared" si="7"/>
        <v>0</v>
      </c>
      <c r="J28" s="23">
        <f t="shared" si="1"/>
        <v>0</v>
      </c>
    </row>
    <row r="29" spans="4:10" ht="13.5" thickBot="1">
      <c r="D29" s="67">
        <v>0</v>
      </c>
      <c r="E29" s="67">
        <v>0</v>
      </c>
      <c r="F29" s="67">
        <v>0</v>
      </c>
      <c r="G29" s="67">
        <v>0</v>
      </c>
      <c r="H29" s="16">
        <v>0</v>
      </c>
      <c r="I29" s="33">
        <f t="shared" si="7"/>
        <v>0</v>
      </c>
      <c r="J29" s="23">
        <f t="shared" si="1"/>
        <v>0</v>
      </c>
    </row>
    <row r="30" spans="4:10" ht="13.5" thickBot="1">
      <c r="D30" s="67">
        <v>0</v>
      </c>
      <c r="E30" s="67">
        <v>0</v>
      </c>
      <c r="F30" s="67">
        <v>0</v>
      </c>
      <c r="G30" s="67">
        <v>0</v>
      </c>
      <c r="H30" s="16">
        <v>0</v>
      </c>
      <c r="I30" s="33">
        <f t="shared" si="7"/>
        <v>0</v>
      </c>
      <c r="J30" s="23">
        <f t="shared" si="1"/>
        <v>0</v>
      </c>
    </row>
    <row r="31" spans="4:10" ht="13.5" thickBot="1">
      <c r="D31" s="67">
        <v>0</v>
      </c>
      <c r="E31" s="67">
        <v>0</v>
      </c>
      <c r="F31" s="67">
        <v>0</v>
      </c>
      <c r="G31" s="67">
        <v>0</v>
      </c>
      <c r="H31" s="16">
        <v>0</v>
      </c>
      <c r="I31" s="33">
        <f t="shared" si="7"/>
        <v>0</v>
      </c>
      <c r="J31" s="23">
        <f t="shared" si="1"/>
        <v>0</v>
      </c>
    </row>
    <row r="32" spans="4:10" ht="13.5" thickBot="1">
      <c r="D32" s="67">
        <v>0</v>
      </c>
      <c r="E32" s="67">
        <v>0</v>
      </c>
      <c r="F32" s="67">
        <v>0</v>
      </c>
      <c r="G32" s="67">
        <v>0</v>
      </c>
      <c r="H32" s="16">
        <v>0</v>
      </c>
      <c r="I32" s="33">
        <f t="shared" si="7"/>
        <v>0</v>
      </c>
      <c r="J32" s="23">
        <f t="shared" si="1"/>
        <v>0</v>
      </c>
    </row>
    <row r="33" spans="4:15" ht="13.5" thickBot="1">
      <c r="D33" s="67">
        <v>0</v>
      </c>
      <c r="E33" s="67">
        <v>0</v>
      </c>
      <c r="F33" s="67">
        <v>0</v>
      </c>
      <c r="G33" s="67">
        <v>0</v>
      </c>
      <c r="H33" s="16">
        <v>0</v>
      </c>
      <c r="I33" s="33">
        <f t="shared" si="7"/>
        <v>0</v>
      </c>
      <c r="J33" s="23">
        <f t="shared" si="1"/>
        <v>0</v>
      </c>
    </row>
    <row r="34" spans="4:15" ht="13.5" thickBot="1">
      <c r="D34" s="67">
        <v>0</v>
      </c>
      <c r="E34" s="67">
        <v>0</v>
      </c>
      <c r="F34" s="67">
        <v>0</v>
      </c>
      <c r="G34" s="67">
        <v>0</v>
      </c>
      <c r="H34" s="16">
        <v>0</v>
      </c>
      <c r="I34" s="33">
        <f t="shared" si="7"/>
        <v>0</v>
      </c>
      <c r="J34" s="23">
        <f t="shared" si="1"/>
        <v>0</v>
      </c>
    </row>
    <row r="35" spans="4:15" ht="13.5" thickBot="1">
      <c r="D35" s="67">
        <v>0</v>
      </c>
      <c r="E35" s="67">
        <v>0</v>
      </c>
      <c r="F35" s="67">
        <v>0</v>
      </c>
      <c r="G35" s="67">
        <v>0</v>
      </c>
      <c r="H35" s="16">
        <v>0</v>
      </c>
      <c r="I35" s="33">
        <f t="shared" si="7"/>
        <v>0</v>
      </c>
      <c r="J35" s="23">
        <f t="shared" si="1"/>
        <v>0</v>
      </c>
    </row>
    <row r="36" spans="4:15" ht="13.5" thickBot="1">
      <c r="D36" s="67">
        <v>0</v>
      </c>
      <c r="E36" s="67">
        <v>0</v>
      </c>
      <c r="F36" s="67">
        <v>0</v>
      </c>
      <c r="G36" s="67">
        <v>0</v>
      </c>
      <c r="H36" s="16">
        <v>0</v>
      </c>
      <c r="I36" s="33">
        <f t="shared" ref="I36:I107" si="8">D36*E36*F36*G36</f>
        <v>0</v>
      </c>
      <c r="J36" s="23">
        <f t="shared" ref="J36:J107" si="9">I36*300</f>
        <v>0</v>
      </c>
    </row>
    <row r="37" spans="4:15" ht="13.5" thickBot="1">
      <c r="D37" s="67">
        <v>0</v>
      </c>
      <c r="E37" s="67">
        <v>0</v>
      </c>
      <c r="F37" s="67">
        <v>0</v>
      </c>
      <c r="G37" s="67">
        <v>0</v>
      </c>
      <c r="H37" s="16">
        <v>0</v>
      </c>
      <c r="I37" s="33">
        <f t="shared" si="8"/>
        <v>0</v>
      </c>
      <c r="J37" s="23">
        <f t="shared" si="9"/>
        <v>0</v>
      </c>
    </row>
    <row r="38" spans="4:15" ht="13.5" thickBot="1">
      <c r="D38" s="67">
        <v>0</v>
      </c>
      <c r="E38" s="67">
        <v>0</v>
      </c>
      <c r="F38" s="67">
        <v>0</v>
      </c>
      <c r="G38" s="67">
        <v>0</v>
      </c>
      <c r="H38" s="16">
        <v>0</v>
      </c>
      <c r="I38" s="33">
        <f t="shared" si="8"/>
        <v>0</v>
      </c>
      <c r="J38" s="23">
        <f t="shared" si="9"/>
        <v>0</v>
      </c>
    </row>
    <row r="39" spans="4:15" ht="13.5" thickBot="1">
      <c r="D39" s="67">
        <v>0</v>
      </c>
      <c r="E39" s="67">
        <v>0</v>
      </c>
      <c r="F39" s="67">
        <v>0</v>
      </c>
      <c r="G39" s="67">
        <v>0</v>
      </c>
      <c r="H39" s="16">
        <v>0</v>
      </c>
      <c r="I39" s="33">
        <f t="shared" si="8"/>
        <v>0</v>
      </c>
      <c r="J39" s="23">
        <f t="shared" si="9"/>
        <v>0</v>
      </c>
    </row>
    <row r="40" spans="4:15" ht="13.5" thickBot="1">
      <c r="D40" s="67">
        <v>0</v>
      </c>
      <c r="E40" s="67">
        <v>0</v>
      </c>
      <c r="F40" s="67">
        <v>0</v>
      </c>
      <c r="G40" s="67">
        <v>0</v>
      </c>
      <c r="H40" s="16">
        <v>0</v>
      </c>
      <c r="I40" s="33">
        <f t="shared" si="8"/>
        <v>0</v>
      </c>
      <c r="J40" s="23">
        <f t="shared" si="9"/>
        <v>0</v>
      </c>
    </row>
    <row r="41" spans="4:15" ht="13.5" thickBot="1">
      <c r="D41" s="67">
        <v>0</v>
      </c>
      <c r="E41" s="67">
        <v>0</v>
      </c>
      <c r="F41" s="67">
        <v>0</v>
      </c>
      <c r="G41" s="67">
        <v>0</v>
      </c>
      <c r="H41" s="16">
        <v>0</v>
      </c>
      <c r="I41" s="33">
        <f t="shared" si="8"/>
        <v>0</v>
      </c>
      <c r="J41" s="23">
        <f t="shared" si="9"/>
        <v>0</v>
      </c>
    </row>
    <row r="42" spans="4:15" ht="13.5" thickBot="1">
      <c r="D42" s="67">
        <v>0</v>
      </c>
      <c r="E42" s="67">
        <v>0</v>
      </c>
      <c r="F42" s="67">
        <v>0</v>
      </c>
      <c r="G42" s="67">
        <v>0</v>
      </c>
      <c r="H42" s="16">
        <v>0</v>
      </c>
      <c r="I42" s="33">
        <f t="shared" si="8"/>
        <v>0</v>
      </c>
      <c r="J42" s="23">
        <f t="shared" si="9"/>
        <v>0</v>
      </c>
    </row>
    <row r="43" spans="4:15" ht="13.5" thickBot="1">
      <c r="D43" s="67">
        <v>0</v>
      </c>
      <c r="E43" s="67">
        <v>0</v>
      </c>
      <c r="F43" s="67">
        <v>0</v>
      </c>
      <c r="G43" s="67">
        <v>0</v>
      </c>
      <c r="H43" s="16">
        <v>0</v>
      </c>
      <c r="I43" s="33">
        <f t="shared" si="8"/>
        <v>0</v>
      </c>
      <c r="J43" s="23">
        <f t="shared" si="9"/>
        <v>0</v>
      </c>
    </row>
    <row r="44" spans="4:15" ht="13.5" thickBot="1">
      <c r="D44" s="67">
        <v>0</v>
      </c>
      <c r="E44" s="67">
        <v>0</v>
      </c>
      <c r="F44" s="67">
        <v>0</v>
      </c>
      <c r="G44" s="67">
        <v>0</v>
      </c>
      <c r="H44" s="16">
        <v>0</v>
      </c>
      <c r="I44" s="33">
        <f t="shared" si="8"/>
        <v>0</v>
      </c>
      <c r="J44" s="23">
        <f t="shared" si="9"/>
        <v>0</v>
      </c>
    </row>
    <row r="45" spans="4:15" ht="13.5" thickBot="1">
      <c r="D45" s="67">
        <v>0</v>
      </c>
      <c r="E45" s="67">
        <v>0</v>
      </c>
      <c r="F45" s="67">
        <v>0</v>
      </c>
      <c r="G45" s="67">
        <v>0</v>
      </c>
      <c r="H45" s="16">
        <v>0</v>
      </c>
      <c r="I45" s="33">
        <f t="shared" si="8"/>
        <v>0</v>
      </c>
      <c r="J45" s="23">
        <f t="shared" si="9"/>
        <v>0</v>
      </c>
    </row>
    <row r="46" spans="4:15" ht="13.5" thickBot="1">
      <c r="D46" s="67">
        <v>0</v>
      </c>
      <c r="E46" s="67">
        <v>0</v>
      </c>
      <c r="F46" s="67">
        <v>0</v>
      </c>
      <c r="G46" s="67">
        <v>0</v>
      </c>
      <c r="H46" s="16">
        <v>0</v>
      </c>
      <c r="I46" s="33">
        <f t="shared" si="8"/>
        <v>0</v>
      </c>
      <c r="J46" s="23">
        <f t="shared" si="9"/>
        <v>0</v>
      </c>
    </row>
    <row r="47" spans="4:15" ht="13.5" thickBot="1">
      <c r="D47" s="67">
        <v>0</v>
      </c>
      <c r="E47" s="67">
        <v>0</v>
      </c>
      <c r="F47" s="67">
        <v>0</v>
      </c>
      <c r="G47" s="67">
        <v>0</v>
      </c>
      <c r="H47" s="16">
        <v>0</v>
      </c>
      <c r="I47" s="33">
        <f t="shared" si="8"/>
        <v>0</v>
      </c>
      <c r="J47" s="23">
        <f t="shared" si="9"/>
        <v>0</v>
      </c>
    </row>
    <row r="48" spans="4:15" ht="13.5" thickBot="1">
      <c r="D48" s="67">
        <v>0</v>
      </c>
      <c r="E48" s="67">
        <v>0</v>
      </c>
      <c r="F48" s="67">
        <v>0</v>
      </c>
      <c r="G48" s="67">
        <v>0</v>
      </c>
      <c r="H48" s="16">
        <v>0</v>
      </c>
      <c r="I48" s="33">
        <f t="shared" si="8"/>
        <v>0</v>
      </c>
      <c r="J48" s="23">
        <f t="shared" si="9"/>
        <v>0</v>
      </c>
      <c r="O48" s="9"/>
    </row>
    <row r="49" spans="4:10" ht="13.5" thickBot="1">
      <c r="D49" s="67">
        <v>0</v>
      </c>
      <c r="E49" s="67">
        <v>0</v>
      </c>
      <c r="F49" s="67">
        <v>0</v>
      </c>
      <c r="G49" s="67">
        <v>0</v>
      </c>
      <c r="H49" s="16">
        <v>0</v>
      </c>
      <c r="I49" s="33">
        <f t="shared" si="8"/>
        <v>0</v>
      </c>
      <c r="J49" s="23">
        <f t="shared" si="9"/>
        <v>0</v>
      </c>
    </row>
    <row r="50" spans="4:10" ht="13.5" thickBot="1">
      <c r="D50" s="67">
        <v>0</v>
      </c>
      <c r="E50" s="67">
        <v>0</v>
      </c>
      <c r="F50" s="67">
        <v>0</v>
      </c>
      <c r="G50" s="67">
        <v>0</v>
      </c>
      <c r="H50" s="16">
        <v>0</v>
      </c>
      <c r="I50" s="33">
        <f t="shared" si="8"/>
        <v>0</v>
      </c>
      <c r="J50" s="23">
        <f t="shared" si="9"/>
        <v>0</v>
      </c>
    </row>
    <row r="51" spans="4:10" ht="13.5" thickBot="1">
      <c r="D51" s="67">
        <v>0</v>
      </c>
      <c r="E51" s="67">
        <v>0</v>
      </c>
      <c r="F51" s="67">
        <v>0</v>
      </c>
      <c r="G51" s="67">
        <v>0</v>
      </c>
      <c r="H51" s="16">
        <v>0</v>
      </c>
      <c r="I51" s="33">
        <f t="shared" si="8"/>
        <v>0</v>
      </c>
      <c r="J51" s="23">
        <f t="shared" si="9"/>
        <v>0</v>
      </c>
    </row>
    <row r="52" spans="4:10" ht="13.5" thickBot="1">
      <c r="D52" s="67">
        <v>0</v>
      </c>
      <c r="E52" s="67">
        <v>0</v>
      </c>
      <c r="F52" s="67">
        <v>0</v>
      </c>
      <c r="G52" s="67">
        <v>0</v>
      </c>
      <c r="H52" s="16">
        <v>0</v>
      </c>
      <c r="I52" s="33">
        <f t="shared" si="8"/>
        <v>0</v>
      </c>
      <c r="J52" s="23">
        <f t="shared" si="9"/>
        <v>0</v>
      </c>
    </row>
    <row r="53" spans="4:10" ht="13.5" thickBot="1">
      <c r="D53" s="67">
        <v>0</v>
      </c>
      <c r="E53" s="67">
        <v>0</v>
      </c>
      <c r="F53" s="67">
        <v>0</v>
      </c>
      <c r="G53" s="67">
        <v>0</v>
      </c>
      <c r="H53" s="16">
        <v>0</v>
      </c>
      <c r="I53" s="33">
        <f t="shared" ref="I53:I102" si="10">D53*E53*F53*G53</f>
        <v>0</v>
      </c>
      <c r="J53" s="23">
        <f t="shared" ref="J53:J102" si="11">I53*300</f>
        <v>0</v>
      </c>
    </row>
    <row r="54" spans="4:10" ht="13.5" thickBot="1">
      <c r="D54" s="67">
        <v>0</v>
      </c>
      <c r="E54" s="67">
        <v>0</v>
      </c>
      <c r="F54" s="67">
        <v>0</v>
      </c>
      <c r="G54" s="67">
        <v>0</v>
      </c>
      <c r="H54" s="16">
        <v>0</v>
      </c>
      <c r="I54" s="33">
        <f t="shared" si="10"/>
        <v>0</v>
      </c>
      <c r="J54" s="23">
        <f t="shared" si="11"/>
        <v>0</v>
      </c>
    </row>
    <row r="55" spans="4:10" ht="13.5" thickBot="1">
      <c r="D55" s="67">
        <v>0</v>
      </c>
      <c r="E55" s="67">
        <v>0</v>
      </c>
      <c r="F55" s="67">
        <v>0</v>
      </c>
      <c r="G55" s="67">
        <v>0</v>
      </c>
      <c r="H55" s="16">
        <v>0</v>
      </c>
      <c r="I55" s="33">
        <f t="shared" si="10"/>
        <v>0</v>
      </c>
      <c r="J55" s="23">
        <f t="shared" si="11"/>
        <v>0</v>
      </c>
    </row>
    <row r="56" spans="4:10" ht="13.5" thickBot="1">
      <c r="D56" s="67">
        <v>0</v>
      </c>
      <c r="E56" s="67">
        <v>0</v>
      </c>
      <c r="F56" s="67">
        <v>0</v>
      </c>
      <c r="G56" s="67">
        <v>0</v>
      </c>
      <c r="H56" s="16">
        <v>0</v>
      </c>
      <c r="I56" s="33">
        <f t="shared" si="10"/>
        <v>0</v>
      </c>
      <c r="J56" s="23">
        <f t="shared" si="11"/>
        <v>0</v>
      </c>
    </row>
    <row r="57" spans="4:10" ht="13.5" thickBot="1">
      <c r="D57" s="67">
        <v>0</v>
      </c>
      <c r="E57" s="67">
        <v>0</v>
      </c>
      <c r="F57" s="67">
        <v>0</v>
      </c>
      <c r="G57" s="67">
        <v>0</v>
      </c>
      <c r="H57" s="16">
        <v>0</v>
      </c>
      <c r="I57" s="33">
        <f t="shared" si="10"/>
        <v>0</v>
      </c>
      <c r="J57" s="23">
        <f t="shared" si="11"/>
        <v>0</v>
      </c>
    </row>
    <row r="58" spans="4:10" ht="13.5" thickBot="1">
      <c r="D58" s="67">
        <v>0</v>
      </c>
      <c r="E58" s="67">
        <v>0</v>
      </c>
      <c r="F58" s="67">
        <v>0</v>
      </c>
      <c r="G58" s="67">
        <v>0</v>
      </c>
      <c r="H58" s="16">
        <v>0</v>
      </c>
      <c r="I58" s="33">
        <f t="shared" si="10"/>
        <v>0</v>
      </c>
      <c r="J58" s="23">
        <f t="shared" si="11"/>
        <v>0</v>
      </c>
    </row>
    <row r="59" spans="4:10" ht="13.5" thickBot="1">
      <c r="D59" s="67">
        <v>0</v>
      </c>
      <c r="E59" s="67">
        <v>0</v>
      </c>
      <c r="F59" s="67">
        <v>0</v>
      </c>
      <c r="G59" s="67">
        <v>0</v>
      </c>
      <c r="H59" s="16">
        <v>0</v>
      </c>
      <c r="I59" s="33">
        <f t="shared" si="10"/>
        <v>0</v>
      </c>
      <c r="J59" s="23">
        <f t="shared" si="11"/>
        <v>0</v>
      </c>
    </row>
    <row r="60" spans="4:10" ht="13.5" thickBot="1">
      <c r="D60" s="67">
        <v>0</v>
      </c>
      <c r="E60" s="67">
        <v>0</v>
      </c>
      <c r="F60" s="67">
        <v>0</v>
      </c>
      <c r="G60" s="67">
        <v>0</v>
      </c>
      <c r="H60" s="16">
        <v>0</v>
      </c>
      <c r="I60" s="33">
        <f t="shared" si="10"/>
        <v>0</v>
      </c>
      <c r="J60" s="23">
        <f t="shared" si="11"/>
        <v>0</v>
      </c>
    </row>
    <row r="61" spans="4:10" ht="13.5" thickBot="1">
      <c r="D61" s="67">
        <v>0</v>
      </c>
      <c r="E61" s="67">
        <v>0</v>
      </c>
      <c r="F61" s="67">
        <v>0</v>
      </c>
      <c r="G61" s="67">
        <v>0</v>
      </c>
      <c r="H61" s="16">
        <v>0</v>
      </c>
      <c r="I61" s="33">
        <f t="shared" si="10"/>
        <v>0</v>
      </c>
      <c r="J61" s="23">
        <f t="shared" si="11"/>
        <v>0</v>
      </c>
    </row>
    <row r="62" spans="4:10" ht="13.5" thickBot="1">
      <c r="D62" s="67">
        <v>0</v>
      </c>
      <c r="E62" s="67">
        <v>0</v>
      </c>
      <c r="F62" s="67">
        <v>0</v>
      </c>
      <c r="G62" s="67">
        <v>0</v>
      </c>
      <c r="H62" s="16">
        <v>0</v>
      </c>
      <c r="I62" s="33">
        <f t="shared" si="10"/>
        <v>0</v>
      </c>
      <c r="J62" s="23">
        <f t="shared" si="11"/>
        <v>0</v>
      </c>
    </row>
    <row r="63" spans="4:10" ht="13.5" thickBot="1">
      <c r="D63" s="67">
        <v>0</v>
      </c>
      <c r="E63" s="67">
        <v>0</v>
      </c>
      <c r="F63" s="67">
        <v>0</v>
      </c>
      <c r="G63" s="67">
        <v>0</v>
      </c>
      <c r="H63" s="16">
        <v>0</v>
      </c>
      <c r="I63" s="33">
        <f t="shared" si="10"/>
        <v>0</v>
      </c>
      <c r="J63" s="23">
        <f t="shared" si="11"/>
        <v>0</v>
      </c>
    </row>
    <row r="64" spans="4:10" ht="13.5" thickBot="1">
      <c r="D64" s="67">
        <v>0</v>
      </c>
      <c r="E64" s="67">
        <v>0</v>
      </c>
      <c r="F64" s="67">
        <v>0</v>
      </c>
      <c r="G64" s="67">
        <v>0</v>
      </c>
      <c r="H64" s="16">
        <v>0</v>
      </c>
      <c r="I64" s="33">
        <f t="shared" si="10"/>
        <v>0</v>
      </c>
      <c r="J64" s="23">
        <f t="shared" si="11"/>
        <v>0</v>
      </c>
    </row>
    <row r="65" spans="4:10" ht="13.5" thickBot="1">
      <c r="D65" s="67">
        <v>0</v>
      </c>
      <c r="E65" s="67">
        <v>0</v>
      </c>
      <c r="F65" s="67">
        <v>0</v>
      </c>
      <c r="G65" s="67">
        <v>0</v>
      </c>
      <c r="H65" s="16">
        <v>0</v>
      </c>
      <c r="I65" s="33">
        <f t="shared" si="10"/>
        <v>0</v>
      </c>
      <c r="J65" s="23">
        <f t="shared" si="11"/>
        <v>0</v>
      </c>
    </row>
    <row r="66" spans="4:10" ht="13.5" thickBot="1">
      <c r="D66" s="67">
        <v>0</v>
      </c>
      <c r="E66" s="67">
        <v>0</v>
      </c>
      <c r="F66" s="67">
        <v>0</v>
      </c>
      <c r="G66" s="67">
        <v>0</v>
      </c>
      <c r="H66" s="16">
        <v>0</v>
      </c>
      <c r="I66" s="33">
        <f t="shared" si="10"/>
        <v>0</v>
      </c>
      <c r="J66" s="23">
        <f t="shared" si="11"/>
        <v>0</v>
      </c>
    </row>
    <row r="67" spans="4:10" ht="13.5" thickBot="1">
      <c r="D67" s="67">
        <v>0</v>
      </c>
      <c r="E67" s="67">
        <v>0</v>
      </c>
      <c r="F67" s="67">
        <v>0</v>
      </c>
      <c r="G67" s="67">
        <v>0</v>
      </c>
      <c r="H67" s="16">
        <v>0</v>
      </c>
      <c r="I67" s="33">
        <f t="shared" si="10"/>
        <v>0</v>
      </c>
      <c r="J67" s="23">
        <f t="shared" si="11"/>
        <v>0</v>
      </c>
    </row>
    <row r="68" spans="4:10" ht="13.5" thickBot="1">
      <c r="D68" s="67">
        <v>0</v>
      </c>
      <c r="E68" s="67">
        <v>0</v>
      </c>
      <c r="F68" s="67">
        <v>0</v>
      </c>
      <c r="G68" s="67">
        <v>0</v>
      </c>
      <c r="H68" s="16">
        <v>0</v>
      </c>
      <c r="I68" s="33">
        <f t="shared" si="10"/>
        <v>0</v>
      </c>
      <c r="J68" s="23">
        <f t="shared" si="11"/>
        <v>0</v>
      </c>
    </row>
    <row r="69" spans="4:10" ht="13.5" thickBot="1">
      <c r="D69" s="67">
        <v>0</v>
      </c>
      <c r="E69" s="67">
        <v>0</v>
      </c>
      <c r="F69" s="67">
        <v>0</v>
      </c>
      <c r="G69" s="67">
        <v>0</v>
      </c>
      <c r="H69" s="16">
        <v>0</v>
      </c>
      <c r="I69" s="33">
        <f t="shared" si="10"/>
        <v>0</v>
      </c>
      <c r="J69" s="23">
        <f t="shared" si="11"/>
        <v>0</v>
      </c>
    </row>
    <row r="70" spans="4:10" ht="13.5" thickBot="1">
      <c r="D70" s="67">
        <v>0</v>
      </c>
      <c r="E70" s="67">
        <v>0</v>
      </c>
      <c r="F70" s="67">
        <v>0</v>
      </c>
      <c r="G70" s="67">
        <v>0</v>
      </c>
      <c r="H70" s="16">
        <v>0</v>
      </c>
      <c r="I70" s="33">
        <f t="shared" si="10"/>
        <v>0</v>
      </c>
      <c r="J70" s="23">
        <f t="shared" si="11"/>
        <v>0</v>
      </c>
    </row>
    <row r="71" spans="4:10" ht="13.5" thickBot="1">
      <c r="D71" s="67">
        <v>0</v>
      </c>
      <c r="E71" s="67">
        <v>0</v>
      </c>
      <c r="F71" s="67">
        <v>0</v>
      </c>
      <c r="G71" s="67">
        <v>0</v>
      </c>
      <c r="H71" s="16">
        <v>0</v>
      </c>
      <c r="I71" s="33">
        <f t="shared" si="10"/>
        <v>0</v>
      </c>
      <c r="J71" s="23">
        <f t="shared" si="11"/>
        <v>0</v>
      </c>
    </row>
    <row r="72" spans="4:10" ht="13.5" thickBot="1">
      <c r="D72" s="67">
        <v>0</v>
      </c>
      <c r="E72" s="67">
        <v>0</v>
      </c>
      <c r="F72" s="67">
        <v>0</v>
      </c>
      <c r="G72" s="67">
        <v>0</v>
      </c>
      <c r="H72" s="16">
        <v>0</v>
      </c>
      <c r="I72" s="33">
        <f t="shared" si="10"/>
        <v>0</v>
      </c>
      <c r="J72" s="23">
        <f t="shared" si="11"/>
        <v>0</v>
      </c>
    </row>
    <row r="73" spans="4:10" ht="13.5" thickBot="1">
      <c r="D73" s="67">
        <v>0</v>
      </c>
      <c r="E73" s="67">
        <v>0</v>
      </c>
      <c r="F73" s="67">
        <v>0</v>
      </c>
      <c r="G73" s="67">
        <v>0</v>
      </c>
      <c r="H73" s="16">
        <v>0</v>
      </c>
      <c r="I73" s="33">
        <f t="shared" si="10"/>
        <v>0</v>
      </c>
      <c r="J73" s="23">
        <f t="shared" si="11"/>
        <v>0</v>
      </c>
    </row>
    <row r="74" spans="4:10" ht="13.5" thickBot="1">
      <c r="D74" s="67">
        <v>0</v>
      </c>
      <c r="E74" s="67">
        <v>0</v>
      </c>
      <c r="F74" s="67">
        <v>0</v>
      </c>
      <c r="G74" s="67">
        <v>0</v>
      </c>
      <c r="H74" s="16">
        <v>0</v>
      </c>
      <c r="I74" s="33">
        <f t="shared" si="10"/>
        <v>0</v>
      </c>
      <c r="J74" s="23">
        <f t="shared" si="11"/>
        <v>0</v>
      </c>
    </row>
    <row r="75" spans="4:10" ht="13.5" thickBot="1">
      <c r="D75" s="67">
        <v>0</v>
      </c>
      <c r="E75" s="67">
        <v>0</v>
      </c>
      <c r="F75" s="67">
        <v>0</v>
      </c>
      <c r="G75" s="67">
        <v>0</v>
      </c>
      <c r="H75" s="16">
        <v>0</v>
      </c>
      <c r="I75" s="33">
        <f t="shared" si="10"/>
        <v>0</v>
      </c>
      <c r="J75" s="23">
        <f t="shared" si="11"/>
        <v>0</v>
      </c>
    </row>
    <row r="76" spans="4:10" ht="13.5" thickBot="1">
      <c r="D76" s="67">
        <v>0</v>
      </c>
      <c r="E76" s="67">
        <v>0</v>
      </c>
      <c r="F76" s="67">
        <v>0</v>
      </c>
      <c r="G76" s="67">
        <v>0</v>
      </c>
      <c r="H76" s="16">
        <v>0</v>
      </c>
      <c r="I76" s="33">
        <f t="shared" si="10"/>
        <v>0</v>
      </c>
      <c r="J76" s="23">
        <f t="shared" si="11"/>
        <v>0</v>
      </c>
    </row>
    <row r="77" spans="4:10" ht="13.5" thickBot="1">
      <c r="D77" s="67">
        <v>0</v>
      </c>
      <c r="E77" s="67">
        <v>0</v>
      </c>
      <c r="F77" s="67">
        <v>0</v>
      </c>
      <c r="G77" s="67">
        <v>0</v>
      </c>
      <c r="H77" s="16">
        <v>0</v>
      </c>
      <c r="I77" s="33">
        <f t="shared" si="10"/>
        <v>0</v>
      </c>
      <c r="J77" s="23">
        <f t="shared" si="11"/>
        <v>0</v>
      </c>
    </row>
    <row r="78" spans="4:10" ht="13.5" thickBot="1">
      <c r="D78" s="67">
        <v>0</v>
      </c>
      <c r="E78" s="67">
        <v>0</v>
      </c>
      <c r="F78" s="67">
        <v>0</v>
      </c>
      <c r="G78" s="67">
        <v>0</v>
      </c>
      <c r="H78" s="16">
        <v>0</v>
      </c>
      <c r="I78" s="33">
        <f t="shared" si="10"/>
        <v>0</v>
      </c>
      <c r="J78" s="23">
        <f t="shared" si="11"/>
        <v>0</v>
      </c>
    </row>
    <row r="79" spans="4:10" ht="13.5" thickBot="1">
      <c r="D79" s="67">
        <v>0</v>
      </c>
      <c r="E79" s="67">
        <v>0</v>
      </c>
      <c r="F79" s="67">
        <v>0</v>
      </c>
      <c r="G79" s="67">
        <v>0</v>
      </c>
      <c r="H79" s="16">
        <v>0</v>
      </c>
      <c r="I79" s="33">
        <f t="shared" si="10"/>
        <v>0</v>
      </c>
      <c r="J79" s="23">
        <f t="shared" si="11"/>
        <v>0</v>
      </c>
    </row>
    <row r="80" spans="4:10" ht="13.5" thickBot="1">
      <c r="D80" s="67">
        <v>0</v>
      </c>
      <c r="E80" s="67">
        <v>0</v>
      </c>
      <c r="F80" s="67">
        <v>0</v>
      </c>
      <c r="G80" s="67">
        <v>0</v>
      </c>
      <c r="H80" s="16">
        <v>0</v>
      </c>
      <c r="I80" s="33">
        <f t="shared" si="10"/>
        <v>0</v>
      </c>
      <c r="J80" s="23">
        <f t="shared" si="11"/>
        <v>0</v>
      </c>
    </row>
    <row r="81" spans="4:10" ht="13.5" thickBot="1">
      <c r="D81" s="67">
        <v>0</v>
      </c>
      <c r="E81" s="67">
        <v>0</v>
      </c>
      <c r="F81" s="67">
        <v>0</v>
      </c>
      <c r="G81" s="67">
        <v>0</v>
      </c>
      <c r="H81" s="16">
        <v>0</v>
      </c>
      <c r="I81" s="33">
        <f t="shared" si="10"/>
        <v>0</v>
      </c>
      <c r="J81" s="23">
        <f t="shared" si="11"/>
        <v>0</v>
      </c>
    </row>
    <row r="82" spans="4:10" ht="13.5" thickBot="1">
      <c r="D82" s="67">
        <v>0</v>
      </c>
      <c r="E82" s="67">
        <v>0</v>
      </c>
      <c r="F82" s="67">
        <v>0</v>
      </c>
      <c r="G82" s="67">
        <v>0</v>
      </c>
      <c r="H82" s="16">
        <v>0</v>
      </c>
      <c r="I82" s="33">
        <f t="shared" si="10"/>
        <v>0</v>
      </c>
      <c r="J82" s="23">
        <f t="shared" si="11"/>
        <v>0</v>
      </c>
    </row>
    <row r="83" spans="4:10" ht="13.5" thickBot="1">
      <c r="D83" s="67">
        <v>0</v>
      </c>
      <c r="E83" s="67">
        <v>0</v>
      </c>
      <c r="F83" s="67">
        <v>0</v>
      </c>
      <c r="G83" s="67">
        <v>0</v>
      </c>
      <c r="H83" s="16">
        <v>0</v>
      </c>
      <c r="I83" s="33">
        <f t="shared" si="10"/>
        <v>0</v>
      </c>
      <c r="J83" s="23">
        <f t="shared" si="11"/>
        <v>0</v>
      </c>
    </row>
    <row r="84" spans="4:10" ht="13.5" thickBot="1">
      <c r="D84" s="67">
        <v>0</v>
      </c>
      <c r="E84" s="67">
        <v>0</v>
      </c>
      <c r="F84" s="67">
        <v>0</v>
      </c>
      <c r="G84" s="67">
        <v>0</v>
      </c>
      <c r="H84" s="16">
        <v>0</v>
      </c>
      <c r="I84" s="33">
        <f t="shared" si="10"/>
        <v>0</v>
      </c>
      <c r="J84" s="23">
        <f t="shared" si="11"/>
        <v>0</v>
      </c>
    </row>
    <row r="85" spans="4:10" ht="13.5" thickBot="1">
      <c r="D85" s="67">
        <v>0</v>
      </c>
      <c r="E85" s="67">
        <v>0</v>
      </c>
      <c r="F85" s="67">
        <v>0</v>
      </c>
      <c r="G85" s="67">
        <v>0</v>
      </c>
      <c r="H85" s="16">
        <v>0</v>
      </c>
      <c r="I85" s="33">
        <f t="shared" si="10"/>
        <v>0</v>
      </c>
      <c r="J85" s="23">
        <f t="shared" si="11"/>
        <v>0</v>
      </c>
    </row>
    <row r="86" spans="4:10" ht="13.5" thickBot="1">
      <c r="D86" s="67">
        <v>0</v>
      </c>
      <c r="E86" s="67">
        <v>0</v>
      </c>
      <c r="F86" s="67">
        <v>0</v>
      </c>
      <c r="G86" s="67">
        <v>0</v>
      </c>
      <c r="H86" s="16">
        <v>0</v>
      </c>
      <c r="I86" s="33">
        <f t="shared" si="10"/>
        <v>0</v>
      </c>
      <c r="J86" s="23">
        <f t="shared" si="11"/>
        <v>0</v>
      </c>
    </row>
    <row r="87" spans="4:10" ht="13.5" thickBot="1">
      <c r="D87" s="67">
        <v>0</v>
      </c>
      <c r="E87" s="67">
        <v>0</v>
      </c>
      <c r="F87" s="67">
        <v>0</v>
      </c>
      <c r="G87" s="67">
        <v>0</v>
      </c>
      <c r="H87" s="16">
        <v>0</v>
      </c>
      <c r="I87" s="33">
        <f t="shared" si="10"/>
        <v>0</v>
      </c>
      <c r="J87" s="23">
        <f t="shared" si="11"/>
        <v>0</v>
      </c>
    </row>
    <row r="88" spans="4:10" ht="13.5" thickBot="1">
      <c r="D88" s="67">
        <v>0</v>
      </c>
      <c r="E88" s="67">
        <v>0</v>
      </c>
      <c r="F88" s="67">
        <v>0</v>
      </c>
      <c r="G88" s="67">
        <v>0</v>
      </c>
      <c r="H88" s="16">
        <v>0</v>
      </c>
      <c r="I88" s="33">
        <f t="shared" si="10"/>
        <v>0</v>
      </c>
      <c r="J88" s="23">
        <f t="shared" si="11"/>
        <v>0</v>
      </c>
    </row>
    <row r="89" spans="4:10" ht="13.5" thickBot="1">
      <c r="D89" s="67">
        <v>0</v>
      </c>
      <c r="E89" s="67">
        <v>0</v>
      </c>
      <c r="F89" s="67">
        <v>0</v>
      </c>
      <c r="G89" s="67">
        <v>0</v>
      </c>
      <c r="H89" s="16">
        <v>0</v>
      </c>
      <c r="I89" s="33">
        <f t="shared" si="10"/>
        <v>0</v>
      </c>
      <c r="J89" s="23">
        <f t="shared" si="11"/>
        <v>0</v>
      </c>
    </row>
    <row r="90" spans="4:10" ht="13.5" thickBot="1">
      <c r="D90" s="67">
        <v>0</v>
      </c>
      <c r="E90" s="67">
        <v>0</v>
      </c>
      <c r="F90" s="67">
        <v>0</v>
      </c>
      <c r="G90" s="67">
        <v>0</v>
      </c>
      <c r="H90" s="16">
        <v>0</v>
      </c>
      <c r="I90" s="33">
        <f t="shared" si="10"/>
        <v>0</v>
      </c>
      <c r="J90" s="23">
        <f t="shared" si="11"/>
        <v>0</v>
      </c>
    </row>
    <row r="91" spans="4:10" ht="13.5" thickBot="1">
      <c r="D91" s="67">
        <v>0</v>
      </c>
      <c r="E91" s="67">
        <v>0</v>
      </c>
      <c r="F91" s="67">
        <v>0</v>
      </c>
      <c r="G91" s="67">
        <v>0</v>
      </c>
      <c r="H91" s="16">
        <v>0</v>
      </c>
      <c r="I91" s="33">
        <f t="shared" si="10"/>
        <v>0</v>
      </c>
      <c r="J91" s="23">
        <f t="shared" si="11"/>
        <v>0</v>
      </c>
    </row>
    <row r="92" spans="4:10" ht="13.5" thickBot="1">
      <c r="D92" s="67">
        <v>0</v>
      </c>
      <c r="E92" s="67">
        <v>0</v>
      </c>
      <c r="F92" s="67">
        <v>0</v>
      </c>
      <c r="G92" s="67">
        <v>0</v>
      </c>
      <c r="H92" s="16">
        <v>0</v>
      </c>
      <c r="I92" s="33">
        <f t="shared" si="10"/>
        <v>0</v>
      </c>
      <c r="J92" s="23">
        <f t="shared" si="11"/>
        <v>0</v>
      </c>
    </row>
    <row r="93" spans="4:10" ht="13.5" thickBot="1">
      <c r="D93" s="67">
        <v>0</v>
      </c>
      <c r="E93" s="67">
        <v>0</v>
      </c>
      <c r="F93" s="67">
        <v>0</v>
      </c>
      <c r="G93" s="67">
        <v>0</v>
      </c>
      <c r="H93" s="16">
        <v>0</v>
      </c>
      <c r="I93" s="33">
        <f t="shared" si="10"/>
        <v>0</v>
      </c>
      <c r="J93" s="23">
        <f t="shared" si="11"/>
        <v>0</v>
      </c>
    </row>
    <row r="94" spans="4:10" ht="13.5" thickBot="1">
      <c r="D94" s="67">
        <v>0</v>
      </c>
      <c r="E94" s="67">
        <v>0</v>
      </c>
      <c r="F94" s="67">
        <v>0</v>
      </c>
      <c r="G94" s="67">
        <v>0</v>
      </c>
      <c r="H94" s="16">
        <v>0</v>
      </c>
      <c r="I94" s="33">
        <f t="shared" si="10"/>
        <v>0</v>
      </c>
      <c r="J94" s="23">
        <f t="shared" si="11"/>
        <v>0</v>
      </c>
    </row>
    <row r="95" spans="4:10">
      <c r="D95" s="67">
        <v>0</v>
      </c>
      <c r="E95" s="67">
        <v>0</v>
      </c>
      <c r="F95" s="67">
        <v>0</v>
      </c>
      <c r="G95" s="67">
        <v>0</v>
      </c>
      <c r="H95" s="16">
        <v>0</v>
      </c>
      <c r="I95" s="33">
        <f t="shared" si="10"/>
        <v>0</v>
      </c>
      <c r="J95" s="23">
        <f t="shared" si="11"/>
        <v>0</v>
      </c>
    </row>
    <row r="96" spans="4:10" hidden="1">
      <c r="D96" s="22">
        <v>0</v>
      </c>
      <c r="E96" s="19">
        <v>0</v>
      </c>
      <c r="F96" s="19">
        <v>0</v>
      </c>
      <c r="G96" s="19">
        <v>0</v>
      </c>
      <c r="H96" s="36">
        <v>0</v>
      </c>
      <c r="I96" s="33">
        <f t="shared" si="10"/>
        <v>0</v>
      </c>
      <c r="J96" s="23">
        <f t="shared" si="11"/>
        <v>0</v>
      </c>
    </row>
    <row r="97" spans="4:10" hidden="1">
      <c r="D97" s="22">
        <v>0</v>
      </c>
      <c r="E97" s="19">
        <v>0</v>
      </c>
      <c r="F97" s="19">
        <v>0</v>
      </c>
      <c r="G97" s="19">
        <v>0</v>
      </c>
      <c r="H97" s="36">
        <v>0</v>
      </c>
      <c r="I97" s="33">
        <f t="shared" si="10"/>
        <v>0</v>
      </c>
      <c r="J97" s="23">
        <f t="shared" si="11"/>
        <v>0</v>
      </c>
    </row>
    <row r="98" spans="4:10" hidden="1">
      <c r="D98" s="22">
        <v>0</v>
      </c>
      <c r="E98" s="19">
        <v>0</v>
      </c>
      <c r="F98" s="19">
        <v>0</v>
      </c>
      <c r="G98" s="19">
        <v>0</v>
      </c>
      <c r="H98" s="36">
        <v>0</v>
      </c>
      <c r="I98" s="33">
        <f t="shared" si="10"/>
        <v>0</v>
      </c>
      <c r="J98" s="23">
        <f t="shared" si="11"/>
        <v>0</v>
      </c>
    </row>
    <row r="99" spans="4:10" hidden="1">
      <c r="D99" s="22">
        <v>0</v>
      </c>
      <c r="E99" s="19">
        <v>0</v>
      </c>
      <c r="F99" s="19">
        <v>0</v>
      </c>
      <c r="G99" s="19">
        <v>0</v>
      </c>
      <c r="H99" s="36">
        <v>0</v>
      </c>
      <c r="I99" s="33">
        <f t="shared" si="10"/>
        <v>0</v>
      </c>
      <c r="J99" s="23">
        <f t="shared" si="11"/>
        <v>0</v>
      </c>
    </row>
    <row r="100" spans="4:10" hidden="1">
      <c r="D100" s="22">
        <v>0</v>
      </c>
      <c r="E100" s="19">
        <v>0</v>
      </c>
      <c r="F100" s="19">
        <v>0</v>
      </c>
      <c r="G100" s="19">
        <v>0</v>
      </c>
      <c r="H100" s="36">
        <v>0</v>
      </c>
      <c r="I100" s="33">
        <f t="shared" si="10"/>
        <v>0</v>
      </c>
      <c r="J100" s="23">
        <f t="shared" si="11"/>
        <v>0</v>
      </c>
    </row>
    <row r="101" spans="4:10" hidden="1">
      <c r="D101" s="22">
        <v>0</v>
      </c>
      <c r="E101" s="19">
        <v>0</v>
      </c>
      <c r="F101" s="19">
        <v>0</v>
      </c>
      <c r="G101" s="19">
        <v>0</v>
      </c>
      <c r="H101" s="36">
        <v>0</v>
      </c>
      <c r="I101" s="33">
        <f t="shared" si="10"/>
        <v>0</v>
      </c>
      <c r="J101" s="23">
        <f t="shared" si="11"/>
        <v>0</v>
      </c>
    </row>
    <row r="102" spans="4:10" hidden="1">
      <c r="D102" s="22">
        <v>0</v>
      </c>
      <c r="E102" s="19">
        <v>0</v>
      </c>
      <c r="F102" s="19">
        <v>0</v>
      </c>
      <c r="G102" s="19">
        <v>0</v>
      </c>
      <c r="H102" s="36">
        <v>0</v>
      </c>
      <c r="I102" s="33">
        <f t="shared" si="10"/>
        <v>0</v>
      </c>
      <c r="J102" s="23">
        <f t="shared" si="11"/>
        <v>0</v>
      </c>
    </row>
    <row r="103" spans="4:10" hidden="1">
      <c r="D103" s="22">
        <v>0</v>
      </c>
      <c r="E103" s="19">
        <v>0</v>
      </c>
      <c r="F103" s="19">
        <v>0</v>
      </c>
      <c r="G103" s="19">
        <v>0</v>
      </c>
      <c r="H103" s="36">
        <v>0</v>
      </c>
      <c r="I103" s="33">
        <f t="shared" si="8"/>
        <v>0</v>
      </c>
      <c r="J103" s="23">
        <f t="shared" si="9"/>
        <v>0</v>
      </c>
    </row>
    <row r="104" spans="4:10" hidden="1">
      <c r="D104" s="22">
        <v>0</v>
      </c>
      <c r="E104" s="19">
        <v>0</v>
      </c>
      <c r="F104" s="19">
        <v>0</v>
      </c>
      <c r="G104" s="19">
        <v>0</v>
      </c>
      <c r="H104" s="36">
        <v>0</v>
      </c>
      <c r="I104" s="33">
        <f t="shared" si="8"/>
        <v>0</v>
      </c>
      <c r="J104" s="23">
        <f t="shared" si="9"/>
        <v>0</v>
      </c>
    </row>
    <row r="105" spans="4:10" hidden="1">
      <c r="D105" s="22">
        <v>0</v>
      </c>
      <c r="E105" s="19">
        <v>0</v>
      </c>
      <c r="F105" s="19">
        <v>0</v>
      </c>
      <c r="G105" s="19">
        <v>0</v>
      </c>
      <c r="H105" s="36">
        <v>0</v>
      </c>
      <c r="I105" s="33">
        <f t="shared" si="8"/>
        <v>0</v>
      </c>
      <c r="J105" s="23">
        <f t="shared" si="9"/>
        <v>0</v>
      </c>
    </row>
    <row r="106" spans="4:10" hidden="1">
      <c r="D106" s="22">
        <v>0</v>
      </c>
      <c r="E106" s="19">
        <v>0</v>
      </c>
      <c r="F106" s="19">
        <v>0</v>
      </c>
      <c r="G106" s="19">
        <v>0</v>
      </c>
      <c r="H106" s="36">
        <v>0</v>
      </c>
      <c r="I106" s="33">
        <f t="shared" si="8"/>
        <v>0</v>
      </c>
      <c r="J106" s="23">
        <f t="shared" si="9"/>
        <v>0</v>
      </c>
    </row>
    <row r="107" spans="4:10" hidden="1">
      <c r="D107" s="22">
        <v>0</v>
      </c>
      <c r="E107" s="19">
        <v>0</v>
      </c>
      <c r="F107" s="19">
        <v>0</v>
      </c>
      <c r="G107" s="19">
        <v>0</v>
      </c>
      <c r="H107" s="36">
        <v>0</v>
      </c>
      <c r="I107" s="33">
        <f t="shared" si="8"/>
        <v>0</v>
      </c>
      <c r="J107" s="23">
        <f t="shared" si="9"/>
        <v>0</v>
      </c>
    </row>
    <row r="108" spans="4:10" hidden="1">
      <c r="D108" s="22">
        <v>0</v>
      </c>
      <c r="E108" s="19">
        <v>0</v>
      </c>
      <c r="F108" s="19">
        <v>0</v>
      </c>
      <c r="G108" s="19">
        <v>0</v>
      </c>
      <c r="H108" s="36">
        <v>0</v>
      </c>
      <c r="I108" s="33">
        <f t="shared" ref="I108:I113" si="12">D108*E108*F108*G108</f>
        <v>0</v>
      </c>
      <c r="J108" s="23">
        <f t="shared" ref="J108:J113" si="13">I108*300</f>
        <v>0</v>
      </c>
    </row>
    <row r="109" spans="4:10" hidden="1">
      <c r="D109" s="22">
        <v>0</v>
      </c>
      <c r="E109" s="19">
        <v>0</v>
      </c>
      <c r="F109" s="19">
        <v>0</v>
      </c>
      <c r="G109" s="19">
        <v>0</v>
      </c>
      <c r="H109" s="36">
        <v>0</v>
      </c>
      <c r="I109" s="33">
        <f t="shared" si="12"/>
        <v>0</v>
      </c>
      <c r="J109" s="23">
        <f t="shared" si="13"/>
        <v>0</v>
      </c>
    </row>
    <row r="110" spans="4:10" hidden="1">
      <c r="D110" s="22">
        <v>0</v>
      </c>
      <c r="E110" s="19">
        <v>0</v>
      </c>
      <c r="F110" s="19">
        <v>0</v>
      </c>
      <c r="G110" s="19">
        <v>0</v>
      </c>
      <c r="H110" s="36">
        <v>0</v>
      </c>
      <c r="I110" s="33">
        <f t="shared" si="12"/>
        <v>0</v>
      </c>
      <c r="J110" s="23">
        <f t="shared" si="13"/>
        <v>0</v>
      </c>
    </row>
    <row r="111" spans="4:10" hidden="1">
      <c r="D111" s="22">
        <v>0</v>
      </c>
      <c r="E111" s="19">
        <v>0</v>
      </c>
      <c r="F111" s="19">
        <v>0</v>
      </c>
      <c r="G111" s="19">
        <v>0</v>
      </c>
      <c r="H111" s="36">
        <v>0</v>
      </c>
      <c r="I111" s="33">
        <f t="shared" si="12"/>
        <v>0</v>
      </c>
      <c r="J111" s="23">
        <f t="shared" si="13"/>
        <v>0</v>
      </c>
    </row>
    <row r="112" spans="4:10" hidden="1">
      <c r="D112" s="22">
        <v>0</v>
      </c>
      <c r="E112" s="19">
        <v>0</v>
      </c>
      <c r="F112" s="19">
        <v>0</v>
      </c>
      <c r="G112" s="19">
        <v>0</v>
      </c>
      <c r="H112" s="36">
        <v>0</v>
      </c>
      <c r="I112" s="33">
        <f t="shared" si="12"/>
        <v>0</v>
      </c>
      <c r="J112" s="23">
        <f t="shared" si="13"/>
        <v>0</v>
      </c>
    </row>
    <row r="113" spans="4:10" hidden="1">
      <c r="D113" s="22">
        <v>0</v>
      </c>
      <c r="E113" s="19">
        <v>0</v>
      </c>
      <c r="F113" s="19">
        <v>0</v>
      </c>
      <c r="G113" s="19">
        <v>0</v>
      </c>
      <c r="H113" s="36">
        <v>0</v>
      </c>
      <c r="I113" s="33">
        <f t="shared" si="12"/>
        <v>0</v>
      </c>
      <c r="J113" s="23">
        <f t="shared" si="13"/>
        <v>0</v>
      </c>
    </row>
    <row r="114" spans="4:10" hidden="1">
      <c r="D114" s="22">
        <v>0</v>
      </c>
      <c r="E114" s="19">
        <v>0</v>
      </c>
      <c r="F114" s="19">
        <v>0</v>
      </c>
      <c r="G114" s="19">
        <v>0</v>
      </c>
      <c r="H114" s="36">
        <v>0</v>
      </c>
      <c r="I114" s="33">
        <f t="shared" ref="I114:I128" si="14">D114*E114*F114*G114</f>
        <v>0</v>
      </c>
      <c r="J114" s="23">
        <f t="shared" ref="J114:J128" si="15">I114*300</f>
        <v>0</v>
      </c>
    </row>
    <row r="115" spans="4:10" hidden="1">
      <c r="D115" s="22">
        <v>0</v>
      </c>
      <c r="E115" s="19">
        <v>0</v>
      </c>
      <c r="F115" s="19">
        <v>0</v>
      </c>
      <c r="G115" s="19">
        <v>0</v>
      </c>
      <c r="H115" s="36">
        <v>0</v>
      </c>
      <c r="I115" s="33">
        <f t="shared" si="14"/>
        <v>0</v>
      </c>
      <c r="J115" s="23">
        <f t="shared" si="15"/>
        <v>0</v>
      </c>
    </row>
    <row r="116" spans="4:10" hidden="1">
      <c r="D116" s="22">
        <v>0</v>
      </c>
      <c r="E116" s="19">
        <v>0</v>
      </c>
      <c r="F116" s="19">
        <v>0</v>
      </c>
      <c r="G116" s="19">
        <v>0</v>
      </c>
      <c r="H116" s="36">
        <v>0</v>
      </c>
      <c r="I116" s="33">
        <f t="shared" si="14"/>
        <v>0</v>
      </c>
      <c r="J116" s="23">
        <f t="shared" si="15"/>
        <v>0</v>
      </c>
    </row>
    <row r="117" spans="4:10" hidden="1">
      <c r="D117" s="22">
        <v>0</v>
      </c>
      <c r="E117" s="19">
        <v>0</v>
      </c>
      <c r="F117" s="19">
        <v>0</v>
      </c>
      <c r="G117" s="19">
        <v>0</v>
      </c>
      <c r="H117" s="36">
        <v>0</v>
      </c>
      <c r="I117" s="33">
        <f t="shared" si="14"/>
        <v>0</v>
      </c>
      <c r="J117" s="23">
        <f t="shared" si="15"/>
        <v>0</v>
      </c>
    </row>
    <row r="118" spans="4:10" hidden="1">
      <c r="D118" s="22">
        <v>0</v>
      </c>
      <c r="E118" s="19">
        <v>0</v>
      </c>
      <c r="F118" s="19">
        <v>0</v>
      </c>
      <c r="G118" s="19">
        <v>0</v>
      </c>
      <c r="H118" s="36">
        <v>0</v>
      </c>
      <c r="I118" s="33">
        <f t="shared" si="14"/>
        <v>0</v>
      </c>
      <c r="J118" s="23">
        <f t="shared" si="15"/>
        <v>0</v>
      </c>
    </row>
    <row r="119" spans="4:10" hidden="1">
      <c r="D119" s="22">
        <v>0</v>
      </c>
      <c r="E119" s="19">
        <v>0</v>
      </c>
      <c r="F119" s="19">
        <v>0</v>
      </c>
      <c r="G119" s="19">
        <v>0</v>
      </c>
      <c r="H119" s="36">
        <v>0</v>
      </c>
      <c r="I119" s="33">
        <f t="shared" si="14"/>
        <v>0</v>
      </c>
      <c r="J119" s="23">
        <f t="shared" si="15"/>
        <v>0</v>
      </c>
    </row>
    <row r="120" spans="4:10" hidden="1">
      <c r="D120" s="22">
        <v>0</v>
      </c>
      <c r="E120" s="19">
        <v>0</v>
      </c>
      <c r="F120" s="19">
        <v>0</v>
      </c>
      <c r="G120" s="19">
        <v>0</v>
      </c>
      <c r="H120" s="36">
        <v>0</v>
      </c>
      <c r="I120" s="33">
        <f t="shared" si="14"/>
        <v>0</v>
      </c>
      <c r="J120" s="23">
        <f t="shared" si="15"/>
        <v>0</v>
      </c>
    </row>
    <row r="121" spans="4:10" hidden="1">
      <c r="D121" s="22">
        <v>0</v>
      </c>
      <c r="E121" s="19">
        <v>0</v>
      </c>
      <c r="F121" s="19">
        <v>0</v>
      </c>
      <c r="G121" s="19">
        <v>0</v>
      </c>
      <c r="H121" s="36">
        <v>0</v>
      </c>
      <c r="I121" s="33">
        <f t="shared" si="14"/>
        <v>0</v>
      </c>
      <c r="J121" s="23">
        <f t="shared" si="15"/>
        <v>0</v>
      </c>
    </row>
    <row r="122" spans="4:10" hidden="1">
      <c r="D122" s="22">
        <v>0</v>
      </c>
      <c r="E122" s="19">
        <v>0</v>
      </c>
      <c r="F122" s="19">
        <v>0</v>
      </c>
      <c r="G122" s="19">
        <v>0</v>
      </c>
      <c r="H122" s="36">
        <v>0</v>
      </c>
      <c r="I122" s="33">
        <f t="shared" si="14"/>
        <v>0</v>
      </c>
      <c r="J122" s="23">
        <f t="shared" si="15"/>
        <v>0</v>
      </c>
    </row>
    <row r="123" spans="4:10" hidden="1">
      <c r="D123" s="22">
        <v>0</v>
      </c>
      <c r="E123" s="19">
        <v>0</v>
      </c>
      <c r="F123" s="19">
        <v>0</v>
      </c>
      <c r="G123" s="19">
        <v>0</v>
      </c>
      <c r="H123" s="36">
        <v>0</v>
      </c>
      <c r="I123" s="33">
        <f t="shared" si="14"/>
        <v>0</v>
      </c>
      <c r="J123" s="23">
        <f t="shared" si="15"/>
        <v>0</v>
      </c>
    </row>
    <row r="124" spans="4:10" hidden="1">
      <c r="D124" s="22">
        <v>0</v>
      </c>
      <c r="E124" s="19">
        <v>0</v>
      </c>
      <c r="F124" s="19">
        <v>0</v>
      </c>
      <c r="G124" s="19">
        <v>0</v>
      </c>
      <c r="H124" s="36">
        <v>0</v>
      </c>
      <c r="I124" s="33">
        <f t="shared" si="14"/>
        <v>0</v>
      </c>
      <c r="J124" s="23">
        <f t="shared" si="15"/>
        <v>0</v>
      </c>
    </row>
    <row r="125" spans="4:10" hidden="1">
      <c r="D125" s="22">
        <v>0</v>
      </c>
      <c r="E125" s="19">
        <v>0</v>
      </c>
      <c r="F125" s="19">
        <v>0</v>
      </c>
      <c r="G125" s="19">
        <v>0</v>
      </c>
      <c r="H125" s="36">
        <v>0</v>
      </c>
      <c r="I125" s="33">
        <f t="shared" si="14"/>
        <v>0</v>
      </c>
      <c r="J125" s="23">
        <f t="shared" si="15"/>
        <v>0</v>
      </c>
    </row>
    <row r="126" spans="4:10" hidden="1">
      <c r="D126" s="22">
        <v>0</v>
      </c>
      <c r="E126" s="19">
        <v>0</v>
      </c>
      <c r="F126" s="19">
        <v>0</v>
      </c>
      <c r="G126" s="19">
        <v>0</v>
      </c>
      <c r="H126" s="36">
        <v>0</v>
      </c>
      <c r="I126" s="33">
        <f t="shared" si="14"/>
        <v>0</v>
      </c>
      <c r="J126" s="23">
        <f t="shared" si="15"/>
        <v>0</v>
      </c>
    </row>
    <row r="127" spans="4:10" hidden="1">
      <c r="D127" s="22">
        <v>0</v>
      </c>
      <c r="E127" s="19">
        <v>0</v>
      </c>
      <c r="F127" s="19">
        <v>0</v>
      </c>
      <c r="G127" s="19">
        <v>0</v>
      </c>
      <c r="H127" s="36">
        <v>0</v>
      </c>
      <c r="I127" s="33">
        <f t="shared" si="14"/>
        <v>0</v>
      </c>
      <c r="J127" s="23">
        <f t="shared" si="15"/>
        <v>0</v>
      </c>
    </row>
    <row r="128" spans="4:10" hidden="1">
      <c r="D128" s="22">
        <v>0</v>
      </c>
      <c r="E128" s="19">
        <v>0</v>
      </c>
      <c r="F128" s="19">
        <v>0</v>
      </c>
      <c r="G128" s="19">
        <v>0</v>
      </c>
      <c r="H128" s="36">
        <v>0</v>
      </c>
      <c r="I128" s="33">
        <f t="shared" si="14"/>
        <v>0</v>
      </c>
      <c r="J128" s="23">
        <f t="shared" si="15"/>
        <v>0</v>
      </c>
    </row>
    <row r="129" spans="3:12" hidden="1">
      <c r="D129" s="22">
        <v>0</v>
      </c>
      <c r="E129" s="19">
        <v>0</v>
      </c>
      <c r="F129" s="19">
        <v>0</v>
      </c>
      <c r="G129" s="19">
        <v>0</v>
      </c>
      <c r="H129" s="36">
        <v>0</v>
      </c>
      <c r="I129" s="33">
        <f t="shared" si="0"/>
        <v>0</v>
      </c>
      <c r="J129" s="23">
        <f t="shared" si="1"/>
        <v>0</v>
      </c>
    </row>
    <row r="130" spans="3:12" ht="29" thickBot="1">
      <c r="I130" s="40">
        <f>SUM(I6:I129)</f>
        <v>0</v>
      </c>
      <c r="J130" s="41" t="s">
        <v>12</v>
      </c>
      <c r="L130" s="9"/>
    </row>
    <row r="131" spans="3:12" ht="29" thickBot="1">
      <c r="C131" s="7" t="s">
        <v>2</v>
      </c>
      <c r="D131" s="5">
        <f>SUM(D6:D130)</f>
        <v>0</v>
      </c>
      <c r="E131" s="6"/>
      <c r="F131" s="6"/>
      <c r="G131" s="75" t="s">
        <v>1</v>
      </c>
      <c r="H131" s="76"/>
      <c r="I131" s="77"/>
      <c r="J131" s="37">
        <f>SUM(J6:J130)</f>
        <v>0</v>
      </c>
      <c r="K131" s="8" t="s">
        <v>6</v>
      </c>
    </row>
    <row r="132" spans="3:12" ht="29" thickBot="1">
      <c r="G132" s="78" t="s">
        <v>11</v>
      </c>
      <c r="H132" s="76"/>
      <c r="I132" s="77"/>
      <c r="J132" s="42">
        <f>SUM(H6:H129)</f>
        <v>0</v>
      </c>
      <c r="K132" s="8" t="s">
        <v>6</v>
      </c>
    </row>
  </sheetData>
  <mergeCells count="2">
    <mergeCell ref="G131:I131"/>
    <mergeCell ref="G132:I132"/>
  </mergeCells>
  <dataValidations count="1">
    <dataValidation type="decimal" allowBlank="1" showInputMessage="1" showErrorMessage="1" errorTitle="ERRO" error="APENAS NUMEROS" sqref="D6:H129" xr:uid="{8F39F1BE-F3BD-45A7-9438-8A62DF270D23}">
      <formula1>0.000000000001</formula1>
      <formula2>9999999.99999999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ZerarCubagemRodo">
                <anchor moveWithCells="1" sizeWithCells="1">
                  <from>
                    <xdr:col>0</xdr:col>
                    <xdr:colOff>95250</xdr:colOff>
                    <xdr:row>20</xdr:row>
                    <xdr:rowOff>88900</xdr:rowOff>
                  </from>
                  <to>
                    <xdr:col>2</xdr:col>
                    <xdr:colOff>476250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8880C-B4F5-4151-BCD1-648FA230B587}">
  <sheetPr codeName="Planilha4">
    <tabColor theme="2" tint="-0.249977111117893"/>
  </sheetPr>
  <dimension ref="R23"/>
  <sheetViews>
    <sheetView topLeftCell="A10" workbookViewId="0">
      <selection activeCell="R24" sqref="R24"/>
    </sheetView>
  </sheetViews>
  <sheetFormatPr defaultRowHeight="13"/>
  <sheetData>
    <row r="23" spans="18:18">
      <c r="R23">
        <f>95-83</f>
        <v>12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F616-7B9E-41BE-93C4-2FF8B9B249CA}">
  <sheetPr codeName="Planilha5">
    <tabColor theme="3" tint="0.39997558519241921"/>
  </sheetPr>
  <dimension ref="A1:I152"/>
  <sheetViews>
    <sheetView topLeftCell="A112" workbookViewId="0">
      <selection activeCell="G115" sqref="G115"/>
    </sheetView>
  </sheetViews>
  <sheetFormatPr defaultRowHeight="13"/>
  <cols>
    <col min="1" max="1" width="83.296875" customWidth="1"/>
    <col min="2" max="2" width="17.3984375" customWidth="1"/>
    <col min="3" max="3" width="13.8984375" customWidth="1"/>
  </cols>
  <sheetData>
    <row r="1" spans="1:9" ht="50.25" customHeight="1" thickBot="1">
      <c r="A1" s="90" t="s">
        <v>16</v>
      </c>
      <c r="B1" s="92" t="s">
        <v>17</v>
      </c>
      <c r="C1" s="43" t="s">
        <v>18</v>
      </c>
      <c r="D1" s="92" t="s">
        <v>20</v>
      </c>
      <c r="E1" s="92" t="s">
        <v>21</v>
      </c>
      <c r="F1" s="79" t="s">
        <v>22</v>
      </c>
      <c r="G1" s="79" t="s">
        <v>23</v>
      </c>
      <c r="H1" s="79" t="s">
        <v>24</v>
      </c>
      <c r="I1" s="79" t="s">
        <v>25</v>
      </c>
    </row>
    <row r="2" spans="1:9" ht="13.5" hidden="1" customHeight="1" thickBot="1">
      <c r="A2" s="91"/>
      <c r="B2" s="93"/>
      <c r="C2" s="44" t="s">
        <v>19</v>
      </c>
      <c r="D2" s="93"/>
      <c r="E2" s="93"/>
      <c r="F2" s="80"/>
      <c r="G2" s="80"/>
      <c r="H2" s="80"/>
      <c r="I2" s="80"/>
    </row>
    <row r="3" spans="1:9" ht="12.75" customHeight="1">
      <c r="A3" s="81" t="s">
        <v>26</v>
      </c>
      <c r="B3" s="84" t="s">
        <v>27</v>
      </c>
      <c r="C3" s="87" t="s">
        <v>28</v>
      </c>
      <c r="D3" s="87" t="s">
        <v>29</v>
      </c>
      <c r="E3" s="87" t="s">
        <v>29</v>
      </c>
      <c r="F3" s="87" t="s">
        <v>30</v>
      </c>
      <c r="G3" s="87" t="s">
        <v>31</v>
      </c>
      <c r="H3" s="87" t="s">
        <v>32</v>
      </c>
      <c r="I3" s="87" t="s">
        <v>33</v>
      </c>
    </row>
    <row r="4" spans="1:9">
      <c r="A4" s="82"/>
      <c r="B4" s="85"/>
      <c r="C4" s="88"/>
      <c r="D4" s="88"/>
      <c r="E4" s="88"/>
      <c r="F4" s="88"/>
      <c r="G4" s="88"/>
      <c r="H4" s="88"/>
      <c r="I4" s="88"/>
    </row>
    <row r="5" spans="1:9">
      <c r="A5" s="82"/>
      <c r="B5" s="85"/>
      <c r="C5" s="88"/>
      <c r="D5" s="88"/>
      <c r="E5" s="88"/>
      <c r="F5" s="88"/>
      <c r="G5" s="88"/>
      <c r="H5" s="88"/>
      <c r="I5" s="88"/>
    </row>
    <row r="6" spans="1:9" ht="13.5" thickBot="1">
      <c r="A6" s="83"/>
      <c r="B6" s="86"/>
      <c r="C6" s="89"/>
      <c r="D6" s="89"/>
      <c r="E6" s="89"/>
      <c r="F6" s="89"/>
      <c r="G6" s="89"/>
      <c r="H6" s="89"/>
      <c r="I6" s="89"/>
    </row>
    <row r="7" spans="1:9">
      <c r="A7" s="94" t="s">
        <v>34</v>
      </c>
      <c r="B7" s="97" t="s">
        <v>35</v>
      </c>
      <c r="C7" s="100" t="s">
        <v>36</v>
      </c>
      <c r="D7" s="100" t="s">
        <v>37</v>
      </c>
      <c r="E7" s="100" t="s">
        <v>37</v>
      </c>
      <c r="F7" s="100" t="s">
        <v>38</v>
      </c>
      <c r="G7" s="100" t="s">
        <v>31</v>
      </c>
      <c r="H7" s="100" t="s">
        <v>32</v>
      </c>
      <c r="I7" s="100" t="s">
        <v>33</v>
      </c>
    </row>
    <row r="8" spans="1:9">
      <c r="A8" s="95"/>
      <c r="B8" s="98"/>
      <c r="C8" s="101"/>
      <c r="D8" s="101"/>
      <c r="E8" s="101"/>
      <c r="F8" s="101"/>
      <c r="G8" s="101"/>
      <c r="H8" s="101"/>
      <c r="I8" s="101"/>
    </row>
    <row r="9" spans="1:9" ht="12.75" customHeight="1">
      <c r="A9" s="95"/>
      <c r="B9" s="98"/>
      <c r="C9" s="101"/>
      <c r="D9" s="101"/>
      <c r="E9" s="101"/>
      <c r="F9" s="101"/>
      <c r="G9" s="101"/>
      <c r="H9" s="101"/>
      <c r="I9" s="101"/>
    </row>
    <row r="10" spans="1:9" ht="13.5" thickBot="1">
      <c r="A10" s="96"/>
      <c r="B10" s="99"/>
      <c r="C10" s="102"/>
      <c r="D10" s="102"/>
      <c r="E10" s="102"/>
      <c r="F10" s="102"/>
      <c r="G10" s="102"/>
      <c r="H10" s="102"/>
      <c r="I10" s="102"/>
    </row>
    <row r="11" spans="1:9" ht="12.75" customHeight="1">
      <c r="A11" s="81" t="s">
        <v>39</v>
      </c>
      <c r="B11" s="87" t="s">
        <v>40</v>
      </c>
      <c r="C11" s="87" t="s">
        <v>41</v>
      </c>
      <c r="D11" s="87" t="s">
        <v>42</v>
      </c>
      <c r="E11" s="87" t="s">
        <v>42</v>
      </c>
      <c r="F11" s="103" t="s">
        <v>31</v>
      </c>
      <c r="G11" s="103" t="s">
        <v>31</v>
      </c>
      <c r="H11" s="87" t="s">
        <v>32</v>
      </c>
      <c r="I11" s="87" t="s">
        <v>33</v>
      </c>
    </row>
    <row r="12" spans="1:9">
      <c r="A12" s="82"/>
      <c r="B12" s="88"/>
      <c r="C12" s="88"/>
      <c r="D12" s="88"/>
      <c r="E12" s="88"/>
      <c r="F12" s="104"/>
      <c r="G12" s="104"/>
      <c r="H12" s="88"/>
      <c r="I12" s="88"/>
    </row>
    <row r="13" spans="1:9">
      <c r="A13" s="82"/>
      <c r="B13" s="88"/>
      <c r="C13" s="88"/>
      <c r="D13" s="88"/>
      <c r="E13" s="88"/>
      <c r="F13" s="104"/>
      <c r="G13" s="104"/>
      <c r="H13" s="88"/>
      <c r="I13" s="88"/>
    </row>
    <row r="14" spans="1:9" ht="13.5" thickBot="1">
      <c r="A14" s="83"/>
      <c r="B14" s="89"/>
      <c r="C14" s="89"/>
      <c r="D14" s="89"/>
      <c r="E14" s="89"/>
      <c r="F14" s="105"/>
      <c r="G14" s="105"/>
      <c r="H14" s="89"/>
      <c r="I14" s="89"/>
    </row>
    <row r="15" spans="1:9">
      <c r="A15" s="94" t="s">
        <v>43</v>
      </c>
      <c r="B15" s="97" t="s">
        <v>44</v>
      </c>
      <c r="C15" s="100" t="s">
        <v>45</v>
      </c>
      <c r="D15" s="100" t="s">
        <v>46</v>
      </c>
      <c r="E15" s="100" t="s">
        <v>46</v>
      </c>
      <c r="F15" s="100" t="s">
        <v>31</v>
      </c>
      <c r="G15" s="100" t="s">
        <v>31</v>
      </c>
      <c r="H15" s="100" t="s">
        <v>32</v>
      </c>
      <c r="I15" s="100" t="s">
        <v>33</v>
      </c>
    </row>
    <row r="16" spans="1:9">
      <c r="A16" s="95"/>
      <c r="B16" s="98"/>
      <c r="C16" s="101"/>
      <c r="D16" s="101"/>
      <c r="E16" s="101"/>
      <c r="F16" s="101"/>
      <c r="G16" s="101"/>
      <c r="H16" s="101"/>
      <c r="I16" s="101"/>
    </row>
    <row r="17" spans="1:9">
      <c r="A17" s="95"/>
      <c r="B17" s="98"/>
      <c r="C17" s="101"/>
      <c r="D17" s="101"/>
      <c r="E17" s="101"/>
      <c r="F17" s="101"/>
      <c r="G17" s="101"/>
      <c r="H17" s="101"/>
      <c r="I17" s="101"/>
    </row>
    <row r="18" spans="1:9" ht="13.5" thickBot="1">
      <c r="A18" s="96"/>
      <c r="B18" s="99"/>
      <c r="C18" s="102"/>
      <c r="D18" s="102"/>
      <c r="E18" s="102"/>
      <c r="F18" s="102"/>
      <c r="G18" s="102"/>
      <c r="H18" s="102"/>
      <c r="I18" s="102"/>
    </row>
    <row r="19" spans="1:9">
      <c r="A19" s="81" t="s">
        <v>47</v>
      </c>
      <c r="B19" s="87" t="s">
        <v>48</v>
      </c>
      <c r="C19" s="87" t="s">
        <v>49</v>
      </c>
      <c r="D19" s="87" t="s">
        <v>50</v>
      </c>
      <c r="E19" s="87" t="s">
        <v>50</v>
      </c>
      <c r="F19" s="87" t="s">
        <v>31</v>
      </c>
      <c r="G19" s="84" t="s">
        <v>51</v>
      </c>
      <c r="H19" s="87" t="s">
        <v>52</v>
      </c>
      <c r="I19" s="87" t="s">
        <v>33</v>
      </c>
    </row>
    <row r="20" spans="1:9">
      <c r="A20" s="82"/>
      <c r="B20" s="88"/>
      <c r="C20" s="88"/>
      <c r="D20" s="88"/>
      <c r="E20" s="88"/>
      <c r="F20" s="88"/>
      <c r="G20" s="85"/>
      <c r="H20" s="88"/>
      <c r="I20" s="88"/>
    </row>
    <row r="21" spans="1:9">
      <c r="A21" s="82"/>
      <c r="B21" s="88"/>
      <c r="C21" s="88"/>
      <c r="D21" s="88"/>
      <c r="E21" s="88"/>
      <c r="F21" s="88"/>
      <c r="G21" s="85"/>
      <c r="H21" s="88"/>
      <c r="I21" s="88"/>
    </row>
    <row r="22" spans="1:9" ht="13.5" thickBot="1">
      <c r="A22" s="83"/>
      <c r="B22" s="89"/>
      <c r="C22" s="89"/>
      <c r="D22" s="89"/>
      <c r="E22" s="89"/>
      <c r="F22" s="89"/>
      <c r="G22" s="86"/>
      <c r="H22" s="89"/>
      <c r="I22" s="89"/>
    </row>
    <row r="23" spans="1:9" ht="12.75" customHeight="1">
      <c r="A23" s="94" t="s">
        <v>47</v>
      </c>
      <c r="B23" s="100" t="s">
        <v>53</v>
      </c>
      <c r="C23" s="100" t="s">
        <v>54</v>
      </c>
      <c r="D23" s="100" t="s">
        <v>55</v>
      </c>
      <c r="E23" s="100" t="s">
        <v>55</v>
      </c>
      <c r="F23" s="106" t="s">
        <v>31</v>
      </c>
      <c r="G23" s="97" t="s">
        <v>51</v>
      </c>
      <c r="H23" s="100" t="s">
        <v>52</v>
      </c>
      <c r="I23" s="100" t="s">
        <v>33</v>
      </c>
    </row>
    <row r="24" spans="1:9">
      <c r="A24" s="95"/>
      <c r="B24" s="101"/>
      <c r="C24" s="101"/>
      <c r="D24" s="101"/>
      <c r="E24" s="101"/>
      <c r="F24" s="107"/>
      <c r="G24" s="98"/>
      <c r="H24" s="101"/>
      <c r="I24" s="101"/>
    </row>
    <row r="25" spans="1:9">
      <c r="A25" s="95"/>
      <c r="B25" s="101"/>
      <c r="C25" s="101"/>
      <c r="D25" s="101"/>
      <c r="E25" s="101"/>
      <c r="F25" s="107"/>
      <c r="G25" s="98"/>
      <c r="H25" s="101"/>
      <c r="I25" s="101"/>
    </row>
    <row r="26" spans="1:9" ht="13.5" thickBot="1">
      <c r="A26" s="96"/>
      <c r="B26" s="102"/>
      <c r="C26" s="102"/>
      <c r="D26" s="102"/>
      <c r="E26" s="102"/>
      <c r="F26" s="108"/>
      <c r="G26" s="99"/>
      <c r="H26" s="102"/>
      <c r="I26" s="102"/>
    </row>
    <row r="27" spans="1:9">
      <c r="A27" s="81" t="s">
        <v>56</v>
      </c>
      <c r="B27" s="87" t="s">
        <v>57</v>
      </c>
      <c r="C27" s="87" t="s">
        <v>58</v>
      </c>
      <c r="D27" s="87" t="s">
        <v>59</v>
      </c>
      <c r="E27" s="87" t="s">
        <v>59</v>
      </c>
      <c r="F27" s="103" t="s">
        <v>31</v>
      </c>
      <c r="G27" s="45" t="s">
        <v>60</v>
      </c>
      <c r="H27" s="87" t="s">
        <v>52</v>
      </c>
      <c r="I27" s="87" t="s">
        <v>33</v>
      </c>
    </row>
    <row r="28" spans="1:9" ht="26">
      <c r="A28" s="82"/>
      <c r="B28" s="88"/>
      <c r="C28" s="88"/>
      <c r="D28" s="88"/>
      <c r="E28" s="88"/>
      <c r="F28" s="104"/>
      <c r="G28" s="47" t="s">
        <v>51</v>
      </c>
      <c r="H28" s="88"/>
      <c r="I28" s="88"/>
    </row>
    <row r="29" spans="1:9">
      <c r="A29" s="82"/>
      <c r="B29" s="88"/>
      <c r="C29" s="88"/>
      <c r="D29" s="88"/>
      <c r="E29" s="88"/>
      <c r="F29" s="104"/>
      <c r="G29" s="48"/>
      <c r="H29" s="88"/>
      <c r="I29" s="88"/>
    </row>
    <row r="30" spans="1:9" ht="13.5" customHeight="1" thickBot="1">
      <c r="A30" s="83"/>
      <c r="B30" s="89"/>
      <c r="C30" s="89"/>
      <c r="D30" s="89"/>
      <c r="E30" s="89"/>
      <c r="F30" s="105"/>
      <c r="G30" s="49"/>
      <c r="H30" s="89"/>
      <c r="I30" s="89"/>
    </row>
    <row r="31" spans="1:9">
      <c r="A31" s="94" t="s">
        <v>61</v>
      </c>
      <c r="B31" s="100" t="s">
        <v>57</v>
      </c>
      <c r="C31" s="100" t="s">
        <v>58</v>
      </c>
      <c r="D31" s="100" t="s">
        <v>59</v>
      </c>
      <c r="E31" s="100" t="s">
        <v>59</v>
      </c>
      <c r="F31" s="106" t="s">
        <v>31</v>
      </c>
      <c r="G31" s="46" t="s">
        <v>60</v>
      </c>
      <c r="H31" s="100" t="s">
        <v>52</v>
      </c>
      <c r="I31" s="100" t="s">
        <v>33</v>
      </c>
    </row>
    <row r="32" spans="1:9" ht="26">
      <c r="A32" s="95"/>
      <c r="B32" s="101"/>
      <c r="C32" s="101"/>
      <c r="D32" s="101"/>
      <c r="E32" s="101"/>
      <c r="F32" s="107"/>
      <c r="G32" s="50" t="s">
        <v>51</v>
      </c>
      <c r="H32" s="101"/>
      <c r="I32" s="101"/>
    </row>
    <row r="33" spans="1:9">
      <c r="A33" s="95"/>
      <c r="B33" s="101"/>
      <c r="C33" s="101"/>
      <c r="D33" s="101"/>
      <c r="E33" s="101"/>
      <c r="F33" s="107"/>
      <c r="G33" s="51"/>
      <c r="H33" s="101"/>
      <c r="I33" s="101"/>
    </row>
    <row r="34" spans="1:9" ht="13.5" customHeight="1" thickBot="1">
      <c r="A34" s="96"/>
      <c r="B34" s="102"/>
      <c r="C34" s="102"/>
      <c r="D34" s="102"/>
      <c r="E34" s="102"/>
      <c r="F34" s="108"/>
      <c r="G34" s="52"/>
      <c r="H34" s="102"/>
      <c r="I34" s="102"/>
    </row>
    <row r="35" spans="1:9" ht="12.75" customHeight="1">
      <c r="A35" s="81" t="s">
        <v>62</v>
      </c>
      <c r="B35" s="87" t="s">
        <v>63</v>
      </c>
      <c r="C35" s="87" t="s">
        <v>64</v>
      </c>
      <c r="D35" s="87" t="s">
        <v>65</v>
      </c>
      <c r="E35" s="87" t="s">
        <v>65</v>
      </c>
      <c r="F35" s="103" t="s">
        <v>31</v>
      </c>
      <c r="G35" s="109" t="s">
        <v>31</v>
      </c>
      <c r="H35" s="87" t="s">
        <v>66</v>
      </c>
      <c r="I35" s="87" t="s">
        <v>33</v>
      </c>
    </row>
    <row r="36" spans="1:9" ht="12.75" customHeight="1">
      <c r="A36" s="82"/>
      <c r="B36" s="88"/>
      <c r="C36" s="88"/>
      <c r="D36" s="88"/>
      <c r="E36" s="88"/>
      <c r="F36" s="104"/>
      <c r="G36" s="110"/>
      <c r="H36" s="88"/>
      <c r="I36" s="88"/>
    </row>
    <row r="37" spans="1:9" ht="12.75" customHeight="1">
      <c r="A37" s="82"/>
      <c r="B37" s="88"/>
      <c r="C37" s="88"/>
      <c r="D37" s="88"/>
      <c r="E37" s="88"/>
      <c r="F37" s="104"/>
      <c r="G37" s="110"/>
      <c r="H37" s="88"/>
      <c r="I37" s="88"/>
    </row>
    <row r="38" spans="1:9" ht="24" customHeight="1" thickBot="1">
      <c r="A38" s="83"/>
      <c r="B38" s="89"/>
      <c r="C38" s="89"/>
      <c r="D38" s="89"/>
      <c r="E38" s="89"/>
      <c r="F38" s="105"/>
      <c r="G38" s="111"/>
      <c r="H38" s="89"/>
      <c r="I38" s="89"/>
    </row>
    <row r="39" spans="1:9">
      <c r="A39" s="94" t="s">
        <v>62</v>
      </c>
      <c r="B39" s="100" t="s">
        <v>48</v>
      </c>
      <c r="C39" s="100" t="s">
        <v>67</v>
      </c>
      <c r="D39" s="100" t="s">
        <v>50</v>
      </c>
      <c r="E39" s="100" t="s">
        <v>50</v>
      </c>
      <c r="F39" s="106" t="s">
        <v>31</v>
      </c>
      <c r="G39" s="112" t="s">
        <v>31</v>
      </c>
      <c r="H39" s="100" t="s">
        <v>66</v>
      </c>
      <c r="I39" s="100" t="s">
        <v>33</v>
      </c>
    </row>
    <row r="40" spans="1:9">
      <c r="A40" s="95"/>
      <c r="B40" s="101"/>
      <c r="C40" s="101"/>
      <c r="D40" s="101"/>
      <c r="E40" s="101"/>
      <c r="F40" s="107"/>
      <c r="G40" s="113"/>
      <c r="H40" s="101"/>
      <c r="I40" s="101"/>
    </row>
    <row r="41" spans="1:9">
      <c r="A41" s="95"/>
      <c r="B41" s="101"/>
      <c r="C41" s="101"/>
      <c r="D41" s="101"/>
      <c r="E41" s="101"/>
      <c r="F41" s="107"/>
      <c r="G41" s="113"/>
      <c r="H41" s="101"/>
      <c r="I41" s="101"/>
    </row>
    <row r="42" spans="1:9" ht="13.5" thickBot="1">
      <c r="A42" s="96"/>
      <c r="B42" s="102"/>
      <c r="C42" s="102"/>
      <c r="D42" s="102"/>
      <c r="E42" s="102"/>
      <c r="F42" s="108"/>
      <c r="G42" s="114"/>
      <c r="H42" s="102"/>
      <c r="I42" s="102"/>
    </row>
    <row r="43" spans="1:9">
      <c r="A43" s="81" t="s">
        <v>62</v>
      </c>
      <c r="B43" s="87" t="s">
        <v>68</v>
      </c>
      <c r="C43" s="87" t="s">
        <v>69</v>
      </c>
      <c r="D43" s="87" t="s">
        <v>70</v>
      </c>
      <c r="E43" s="87" t="s">
        <v>70</v>
      </c>
      <c r="F43" s="103" t="s">
        <v>31</v>
      </c>
      <c r="G43" s="109" t="s">
        <v>31</v>
      </c>
      <c r="H43" s="87" t="s">
        <v>66</v>
      </c>
      <c r="I43" s="87" t="s">
        <v>33</v>
      </c>
    </row>
    <row r="44" spans="1:9">
      <c r="A44" s="82"/>
      <c r="B44" s="88"/>
      <c r="C44" s="88"/>
      <c r="D44" s="88"/>
      <c r="E44" s="88"/>
      <c r="F44" s="104"/>
      <c r="G44" s="110"/>
      <c r="H44" s="88"/>
      <c r="I44" s="88"/>
    </row>
    <row r="45" spans="1:9">
      <c r="A45" s="82"/>
      <c r="B45" s="88"/>
      <c r="C45" s="88"/>
      <c r="D45" s="88"/>
      <c r="E45" s="88"/>
      <c r="F45" s="104"/>
      <c r="G45" s="110"/>
      <c r="H45" s="88"/>
      <c r="I45" s="88"/>
    </row>
    <row r="46" spans="1:9">
      <c r="A46" s="82"/>
      <c r="B46" s="88"/>
      <c r="C46" s="88"/>
      <c r="D46" s="88"/>
      <c r="E46" s="88"/>
      <c r="F46" s="104"/>
      <c r="G46" s="110"/>
      <c r="H46" s="88"/>
      <c r="I46" s="88"/>
    </row>
    <row r="47" spans="1:9" ht="13.5" thickBot="1">
      <c r="A47" s="83"/>
      <c r="B47" s="89"/>
      <c r="C47" s="89"/>
      <c r="D47" s="89"/>
      <c r="E47" s="89"/>
      <c r="F47" s="105"/>
      <c r="G47" s="111"/>
      <c r="H47" s="89"/>
      <c r="I47" s="89"/>
    </row>
    <row r="48" spans="1:9">
      <c r="A48" s="94" t="s">
        <v>62</v>
      </c>
      <c r="B48" s="46" t="s">
        <v>71</v>
      </c>
      <c r="C48" s="100" t="s">
        <v>73</v>
      </c>
      <c r="D48" s="100" t="s">
        <v>74</v>
      </c>
      <c r="E48" s="100" t="s">
        <v>74</v>
      </c>
      <c r="F48" s="106" t="s">
        <v>31</v>
      </c>
      <c r="G48" s="112" t="s">
        <v>31</v>
      </c>
      <c r="H48" s="100" t="s">
        <v>66</v>
      </c>
      <c r="I48" s="100" t="s">
        <v>33</v>
      </c>
    </row>
    <row r="49" spans="1:9">
      <c r="A49" s="95"/>
      <c r="B49" s="50" t="s">
        <v>72</v>
      </c>
      <c r="C49" s="101"/>
      <c r="D49" s="101"/>
      <c r="E49" s="101"/>
      <c r="F49" s="107"/>
      <c r="G49" s="113"/>
      <c r="H49" s="101"/>
      <c r="I49" s="101"/>
    </row>
    <row r="50" spans="1:9">
      <c r="A50" s="95"/>
      <c r="B50" s="51"/>
      <c r="C50" s="101"/>
      <c r="D50" s="101"/>
      <c r="E50" s="101"/>
      <c r="F50" s="107"/>
      <c r="G50" s="113"/>
      <c r="H50" s="101"/>
      <c r="I50" s="101"/>
    </row>
    <row r="51" spans="1:9">
      <c r="A51" s="95"/>
      <c r="B51" s="51"/>
      <c r="C51" s="101"/>
      <c r="D51" s="101"/>
      <c r="E51" s="101"/>
      <c r="F51" s="107"/>
      <c r="G51" s="113"/>
      <c r="H51" s="101"/>
      <c r="I51" s="101"/>
    </row>
    <row r="52" spans="1:9" ht="13.5" thickBot="1">
      <c r="A52" s="96"/>
      <c r="B52" s="52"/>
      <c r="C52" s="102"/>
      <c r="D52" s="102"/>
      <c r="E52" s="102"/>
      <c r="F52" s="108"/>
      <c r="G52" s="114"/>
      <c r="H52" s="102"/>
      <c r="I52" s="102"/>
    </row>
    <row r="53" spans="1:9">
      <c r="A53" s="81" t="s">
        <v>62</v>
      </c>
      <c r="B53" s="45" t="s">
        <v>53</v>
      </c>
      <c r="C53" s="87" t="s">
        <v>54</v>
      </c>
      <c r="D53" s="87" t="s">
        <v>55</v>
      </c>
      <c r="E53" s="87" t="s">
        <v>55</v>
      </c>
      <c r="F53" s="87" t="s">
        <v>31</v>
      </c>
      <c r="G53" s="109" t="s">
        <v>31</v>
      </c>
      <c r="H53" s="87" t="s">
        <v>66</v>
      </c>
      <c r="I53" s="87" t="s">
        <v>33</v>
      </c>
    </row>
    <row r="54" spans="1:9">
      <c r="A54" s="82"/>
      <c r="B54" s="47" t="s">
        <v>72</v>
      </c>
      <c r="C54" s="88"/>
      <c r="D54" s="88"/>
      <c r="E54" s="88"/>
      <c r="F54" s="88"/>
      <c r="G54" s="110"/>
      <c r="H54" s="88"/>
      <c r="I54" s="88"/>
    </row>
    <row r="55" spans="1:9">
      <c r="A55" s="82"/>
      <c r="B55" s="48"/>
      <c r="C55" s="88"/>
      <c r="D55" s="88"/>
      <c r="E55" s="88"/>
      <c r="F55" s="88"/>
      <c r="G55" s="110"/>
      <c r="H55" s="88"/>
      <c r="I55" s="88"/>
    </row>
    <row r="56" spans="1:9" ht="13.5" thickBot="1">
      <c r="A56" s="83"/>
      <c r="B56" s="49"/>
      <c r="C56" s="89"/>
      <c r="D56" s="89"/>
      <c r="E56" s="89"/>
      <c r="F56" s="89"/>
      <c r="G56" s="111"/>
      <c r="H56" s="89"/>
      <c r="I56" s="89"/>
    </row>
    <row r="57" spans="1:9">
      <c r="A57" s="94" t="s">
        <v>62</v>
      </c>
      <c r="B57" s="46" t="s">
        <v>75</v>
      </c>
      <c r="C57" s="100" t="s">
        <v>76</v>
      </c>
      <c r="D57" s="100" t="s">
        <v>77</v>
      </c>
      <c r="E57" s="100" t="s">
        <v>77</v>
      </c>
      <c r="F57" s="100" t="s">
        <v>31</v>
      </c>
      <c r="G57" s="46" t="s">
        <v>78</v>
      </c>
      <c r="H57" s="100" t="s">
        <v>66</v>
      </c>
      <c r="I57" s="100" t="s">
        <v>33</v>
      </c>
    </row>
    <row r="58" spans="1:9" ht="26">
      <c r="A58" s="95"/>
      <c r="B58" s="50" t="s">
        <v>72</v>
      </c>
      <c r="C58" s="101"/>
      <c r="D58" s="101"/>
      <c r="E58" s="101"/>
      <c r="F58" s="101"/>
      <c r="G58" s="50" t="s">
        <v>79</v>
      </c>
      <c r="H58" s="101"/>
      <c r="I58" s="101"/>
    </row>
    <row r="59" spans="1:9">
      <c r="A59" s="95"/>
      <c r="B59" s="51"/>
      <c r="C59" s="101"/>
      <c r="D59" s="101"/>
      <c r="E59" s="101"/>
      <c r="F59" s="101"/>
      <c r="G59" s="51"/>
      <c r="H59" s="101"/>
      <c r="I59" s="101"/>
    </row>
    <row r="60" spans="1:9" ht="13.5" thickBot="1">
      <c r="A60" s="96"/>
      <c r="B60" s="52"/>
      <c r="C60" s="102"/>
      <c r="D60" s="102"/>
      <c r="E60" s="102"/>
      <c r="F60" s="102"/>
      <c r="G60" s="52"/>
      <c r="H60" s="102"/>
      <c r="I60" s="102"/>
    </row>
    <row r="61" spans="1:9">
      <c r="A61" s="81" t="s">
        <v>80</v>
      </c>
      <c r="B61" s="87" t="s">
        <v>81</v>
      </c>
      <c r="C61" s="87" t="s">
        <v>49</v>
      </c>
      <c r="D61" s="87" t="s">
        <v>50</v>
      </c>
      <c r="E61" s="87" t="s">
        <v>50</v>
      </c>
      <c r="F61" s="87" t="s">
        <v>31</v>
      </c>
      <c r="G61" s="109" t="s">
        <v>31</v>
      </c>
      <c r="H61" s="87" t="s">
        <v>66</v>
      </c>
      <c r="I61" s="87" t="s">
        <v>33</v>
      </c>
    </row>
    <row r="62" spans="1:9">
      <c r="A62" s="82"/>
      <c r="B62" s="88"/>
      <c r="C62" s="88"/>
      <c r="D62" s="88"/>
      <c r="E62" s="88"/>
      <c r="F62" s="88"/>
      <c r="G62" s="110"/>
      <c r="H62" s="88"/>
      <c r="I62" s="88"/>
    </row>
    <row r="63" spans="1:9">
      <c r="A63" s="82"/>
      <c r="B63" s="88"/>
      <c r="C63" s="88"/>
      <c r="D63" s="88"/>
      <c r="E63" s="88"/>
      <c r="F63" s="88"/>
      <c r="G63" s="110"/>
      <c r="H63" s="88"/>
      <c r="I63" s="88"/>
    </row>
    <row r="64" spans="1:9" ht="13.5" thickBot="1">
      <c r="A64" s="83"/>
      <c r="B64" s="89"/>
      <c r="C64" s="89"/>
      <c r="D64" s="89"/>
      <c r="E64" s="89"/>
      <c r="F64" s="89"/>
      <c r="G64" s="111"/>
      <c r="H64" s="89"/>
      <c r="I64" s="89"/>
    </row>
    <row r="65" spans="1:9">
      <c r="A65" s="94" t="s">
        <v>80</v>
      </c>
      <c r="B65" s="100" t="s">
        <v>82</v>
      </c>
      <c r="C65" s="100" t="s">
        <v>83</v>
      </c>
      <c r="D65" s="100" t="s">
        <v>84</v>
      </c>
      <c r="E65" s="100" t="s">
        <v>84</v>
      </c>
      <c r="F65" s="100" t="s">
        <v>31</v>
      </c>
      <c r="G65" s="112" t="s">
        <v>31</v>
      </c>
      <c r="H65" s="100" t="s">
        <v>66</v>
      </c>
      <c r="I65" s="100" t="s">
        <v>33</v>
      </c>
    </row>
    <row r="66" spans="1:9">
      <c r="A66" s="95"/>
      <c r="B66" s="101"/>
      <c r="C66" s="101"/>
      <c r="D66" s="101"/>
      <c r="E66" s="101"/>
      <c r="F66" s="101"/>
      <c r="G66" s="113"/>
      <c r="H66" s="101"/>
      <c r="I66" s="101"/>
    </row>
    <row r="67" spans="1:9">
      <c r="A67" s="95"/>
      <c r="B67" s="101"/>
      <c r="C67" s="101"/>
      <c r="D67" s="101"/>
      <c r="E67" s="101"/>
      <c r="F67" s="101"/>
      <c r="G67" s="113"/>
      <c r="H67" s="101"/>
      <c r="I67" s="101"/>
    </row>
    <row r="68" spans="1:9" ht="13.5" thickBot="1">
      <c r="A68" s="96"/>
      <c r="B68" s="102"/>
      <c r="C68" s="102"/>
      <c r="D68" s="102"/>
      <c r="E68" s="102"/>
      <c r="F68" s="102"/>
      <c r="G68" s="114"/>
      <c r="H68" s="102"/>
      <c r="I68" s="102"/>
    </row>
    <row r="69" spans="1:9">
      <c r="A69" s="81" t="s">
        <v>80</v>
      </c>
      <c r="B69" s="87" t="s">
        <v>85</v>
      </c>
      <c r="C69" s="87" t="s">
        <v>86</v>
      </c>
      <c r="D69" s="87" t="s">
        <v>87</v>
      </c>
      <c r="E69" s="87" t="s">
        <v>87</v>
      </c>
      <c r="F69" s="103" t="s">
        <v>31</v>
      </c>
      <c r="G69" s="87" t="s">
        <v>78</v>
      </c>
      <c r="H69" s="87" t="s">
        <v>66</v>
      </c>
      <c r="I69" s="87" t="s">
        <v>33</v>
      </c>
    </row>
    <row r="70" spans="1:9">
      <c r="A70" s="82"/>
      <c r="B70" s="88"/>
      <c r="C70" s="88"/>
      <c r="D70" s="88"/>
      <c r="E70" s="88"/>
      <c r="F70" s="104"/>
      <c r="G70" s="88"/>
      <c r="H70" s="88"/>
      <c r="I70" s="88"/>
    </row>
    <row r="71" spans="1:9">
      <c r="A71" s="82"/>
      <c r="B71" s="88"/>
      <c r="C71" s="88"/>
      <c r="D71" s="88"/>
      <c r="E71" s="88"/>
      <c r="F71" s="104"/>
      <c r="G71" s="88"/>
      <c r="H71" s="88"/>
      <c r="I71" s="88"/>
    </row>
    <row r="72" spans="1:9" ht="13.5" thickBot="1">
      <c r="A72" s="83"/>
      <c r="B72" s="89"/>
      <c r="C72" s="89"/>
      <c r="D72" s="89"/>
      <c r="E72" s="89"/>
      <c r="F72" s="105"/>
      <c r="G72" s="89"/>
      <c r="H72" s="89"/>
      <c r="I72" s="89"/>
    </row>
    <row r="73" spans="1:9">
      <c r="A73" s="94" t="s">
        <v>80</v>
      </c>
      <c r="B73" s="46" t="s">
        <v>88</v>
      </c>
      <c r="C73" s="100" t="s">
        <v>54</v>
      </c>
      <c r="D73" s="100" t="s">
        <v>55</v>
      </c>
      <c r="E73" s="100" t="s">
        <v>55</v>
      </c>
      <c r="F73" s="106" t="s">
        <v>31</v>
      </c>
      <c r="G73" s="112" t="s">
        <v>31</v>
      </c>
      <c r="H73" s="100" t="s">
        <v>66</v>
      </c>
      <c r="I73" s="100" t="s">
        <v>33</v>
      </c>
    </row>
    <row r="74" spans="1:9">
      <c r="A74" s="95"/>
      <c r="B74" s="50" t="s">
        <v>72</v>
      </c>
      <c r="C74" s="101"/>
      <c r="D74" s="101"/>
      <c r="E74" s="101"/>
      <c r="F74" s="107"/>
      <c r="G74" s="113"/>
      <c r="H74" s="101"/>
      <c r="I74" s="101"/>
    </row>
    <row r="75" spans="1:9">
      <c r="A75" s="95"/>
      <c r="B75" s="51"/>
      <c r="C75" s="101"/>
      <c r="D75" s="101"/>
      <c r="E75" s="101"/>
      <c r="F75" s="107"/>
      <c r="G75" s="113"/>
      <c r="H75" s="101"/>
      <c r="I75" s="101"/>
    </row>
    <row r="76" spans="1:9" ht="13.5" thickBot="1">
      <c r="A76" s="96"/>
      <c r="B76" s="52"/>
      <c r="C76" s="102"/>
      <c r="D76" s="102"/>
      <c r="E76" s="102"/>
      <c r="F76" s="108"/>
      <c r="G76" s="114"/>
      <c r="H76" s="102"/>
      <c r="I76" s="102"/>
    </row>
    <row r="77" spans="1:9">
      <c r="A77" s="81" t="s">
        <v>80</v>
      </c>
      <c r="B77" s="45" t="s">
        <v>57</v>
      </c>
      <c r="C77" s="87" t="s">
        <v>58</v>
      </c>
      <c r="D77" s="87" t="s">
        <v>59</v>
      </c>
      <c r="E77" s="87" t="s">
        <v>59</v>
      </c>
      <c r="F77" s="103" t="s">
        <v>31</v>
      </c>
      <c r="G77" s="87" t="s">
        <v>78</v>
      </c>
      <c r="H77" s="87" t="s">
        <v>66</v>
      </c>
      <c r="I77" s="87" t="s">
        <v>33</v>
      </c>
    </row>
    <row r="78" spans="1:9">
      <c r="A78" s="82"/>
      <c r="B78" s="47" t="s">
        <v>72</v>
      </c>
      <c r="C78" s="88"/>
      <c r="D78" s="88"/>
      <c r="E78" s="88"/>
      <c r="F78" s="104"/>
      <c r="G78" s="88"/>
      <c r="H78" s="88"/>
      <c r="I78" s="88"/>
    </row>
    <row r="79" spans="1:9">
      <c r="A79" s="82"/>
      <c r="B79" s="48"/>
      <c r="C79" s="88"/>
      <c r="D79" s="88"/>
      <c r="E79" s="88"/>
      <c r="F79" s="104"/>
      <c r="G79" s="88"/>
      <c r="H79" s="88"/>
      <c r="I79" s="88"/>
    </row>
    <row r="80" spans="1:9" ht="13.5" thickBot="1">
      <c r="A80" s="83"/>
      <c r="B80" s="49"/>
      <c r="C80" s="89"/>
      <c r="D80" s="89"/>
      <c r="E80" s="89"/>
      <c r="F80" s="105"/>
      <c r="G80" s="89"/>
      <c r="H80" s="89"/>
      <c r="I80" s="89"/>
    </row>
    <row r="81" spans="1:9">
      <c r="A81" s="94" t="s">
        <v>80</v>
      </c>
      <c r="B81" s="46" t="s">
        <v>89</v>
      </c>
      <c r="C81" s="100" t="s">
        <v>90</v>
      </c>
      <c r="D81" s="100" t="s">
        <v>91</v>
      </c>
      <c r="E81" s="100" t="s">
        <v>91</v>
      </c>
      <c r="F81" s="106" t="s">
        <v>31</v>
      </c>
      <c r="G81" s="100" t="s">
        <v>78</v>
      </c>
      <c r="H81" s="100" t="s">
        <v>66</v>
      </c>
      <c r="I81" s="100" t="s">
        <v>33</v>
      </c>
    </row>
    <row r="82" spans="1:9">
      <c r="A82" s="95"/>
      <c r="B82" s="50" t="s">
        <v>72</v>
      </c>
      <c r="C82" s="101"/>
      <c r="D82" s="101"/>
      <c r="E82" s="101"/>
      <c r="F82" s="107"/>
      <c r="G82" s="101"/>
      <c r="H82" s="101"/>
      <c r="I82" s="101"/>
    </row>
    <row r="83" spans="1:9">
      <c r="A83" s="95"/>
      <c r="B83" s="51"/>
      <c r="C83" s="101"/>
      <c r="D83" s="101"/>
      <c r="E83" s="101"/>
      <c r="F83" s="107"/>
      <c r="G83" s="101"/>
      <c r="H83" s="101"/>
      <c r="I83" s="101"/>
    </row>
    <row r="84" spans="1:9" ht="13.5" thickBot="1">
      <c r="A84" s="96"/>
      <c r="B84" s="52"/>
      <c r="C84" s="102"/>
      <c r="D84" s="102"/>
      <c r="E84" s="102"/>
      <c r="F84" s="108"/>
      <c r="G84" s="102"/>
      <c r="H84" s="102"/>
      <c r="I84" s="102"/>
    </row>
    <row r="85" spans="1:9">
      <c r="A85" s="81" t="s">
        <v>92</v>
      </c>
      <c r="B85" s="87" t="s">
        <v>93</v>
      </c>
      <c r="C85" s="87" t="s">
        <v>94</v>
      </c>
      <c r="D85" s="87" t="s">
        <v>95</v>
      </c>
      <c r="E85" s="87" t="s">
        <v>95</v>
      </c>
      <c r="F85" s="103" t="s">
        <v>31</v>
      </c>
      <c r="G85" s="87" t="s">
        <v>96</v>
      </c>
      <c r="H85" s="87" t="s">
        <v>97</v>
      </c>
      <c r="I85" s="87" t="s">
        <v>98</v>
      </c>
    </row>
    <row r="86" spans="1:9">
      <c r="A86" s="82"/>
      <c r="B86" s="88"/>
      <c r="C86" s="88"/>
      <c r="D86" s="88"/>
      <c r="E86" s="88"/>
      <c r="F86" s="104"/>
      <c r="G86" s="88"/>
      <c r="H86" s="88"/>
      <c r="I86" s="88"/>
    </row>
    <row r="87" spans="1:9" ht="13.5" thickBot="1">
      <c r="A87" s="83"/>
      <c r="B87" s="89"/>
      <c r="C87" s="89"/>
      <c r="D87" s="89"/>
      <c r="E87" s="89"/>
      <c r="F87" s="105"/>
      <c r="G87" s="89"/>
      <c r="H87" s="89"/>
      <c r="I87" s="89"/>
    </row>
    <row r="88" spans="1:9" ht="12.75" customHeight="1">
      <c r="A88" s="94" t="s">
        <v>99</v>
      </c>
      <c r="B88" s="100" t="s">
        <v>100</v>
      </c>
      <c r="C88" s="100" t="s">
        <v>101</v>
      </c>
      <c r="D88" s="100" t="s">
        <v>102</v>
      </c>
      <c r="E88" s="100" t="s">
        <v>102</v>
      </c>
      <c r="F88" s="100" t="s">
        <v>103</v>
      </c>
      <c r="G88" s="100" t="s">
        <v>60</v>
      </c>
      <c r="H88" s="100" t="s">
        <v>52</v>
      </c>
      <c r="I88" s="100" t="s">
        <v>33</v>
      </c>
    </row>
    <row r="89" spans="1:9">
      <c r="A89" s="95"/>
      <c r="B89" s="101"/>
      <c r="C89" s="101"/>
      <c r="D89" s="101"/>
      <c r="E89" s="101"/>
      <c r="F89" s="101"/>
      <c r="G89" s="101"/>
      <c r="H89" s="101"/>
      <c r="I89" s="101"/>
    </row>
    <row r="90" spans="1:9" ht="13.5" thickBot="1">
      <c r="A90" s="96"/>
      <c r="B90" s="102"/>
      <c r="C90" s="102"/>
      <c r="D90" s="102"/>
      <c r="E90" s="102"/>
      <c r="F90" s="102"/>
      <c r="G90" s="102"/>
      <c r="H90" s="102"/>
      <c r="I90" s="102"/>
    </row>
    <row r="91" spans="1:9">
      <c r="A91" s="81" t="s">
        <v>104</v>
      </c>
      <c r="B91" s="87" t="s">
        <v>100</v>
      </c>
      <c r="C91" s="87" t="s">
        <v>101</v>
      </c>
      <c r="D91" s="87" t="s">
        <v>102</v>
      </c>
      <c r="E91" s="87" t="s">
        <v>102</v>
      </c>
      <c r="F91" s="87" t="s">
        <v>103</v>
      </c>
      <c r="G91" s="45" t="s">
        <v>52</v>
      </c>
      <c r="H91" s="87" t="s">
        <v>97</v>
      </c>
      <c r="I91" s="87" t="s">
        <v>98</v>
      </c>
    </row>
    <row r="92" spans="1:9" ht="26">
      <c r="A92" s="82"/>
      <c r="B92" s="88"/>
      <c r="C92" s="88"/>
      <c r="D92" s="88"/>
      <c r="E92" s="88"/>
      <c r="F92" s="88"/>
      <c r="G92" s="47" t="s">
        <v>105</v>
      </c>
      <c r="H92" s="88"/>
      <c r="I92" s="88"/>
    </row>
    <row r="93" spans="1:9" ht="25.5" customHeight="1" thickBot="1">
      <c r="A93" s="83"/>
      <c r="B93" s="89"/>
      <c r="C93" s="89"/>
      <c r="D93" s="89"/>
      <c r="E93" s="89"/>
      <c r="F93" s="89"/>
      <c r="G93" s="49"/>
      <c r="H93" s="89"/>
      <c r="I93" s="89"/>
    </row>
    <row r="94" spans="1:9">
      <c r="A94" s="94" t="s">
        <v>106</v>
      </c>
      <c r="B94" s="100" t="s">
        <v>107</v>
      </c>
      <c r="C94" s="100" t="s">
        <v>108</v>
      </c>
      <c r="D94" s="100" t="s">
        <v>109</v>
      </c>
      <c r="E94" s="100" t="s">
        <v>109</v>
      </c>
      <c r="F94" s="100" t="s">
        <v>110</v>
      </c>
      <c r="G94" s="46" t="s">
        <v>111</v>
      </c>
      <c r="H94" s="100" t="s">
        <v>113</v>
      </c>
      <c r="I94" s="100" t="s">
        <v>98</v>
      </c>
    </row>
    <row r="95" spans="1:9" ht="37.5">
      <c r="A95" s="95"/>
      <c r="B95" s="101"/>
      <c r="C95" s="101"/>
      <c r="D95" s="101"/>
      <c r="E95" s="101"/>
      <c r="F95" s="101"/>
      <c r="G95" s="51" t="s">
        <v>112</v>
      </c>
      <c r="H95" s="101"/>
      <c r="I95" s="101"/>
    </row>
    <row r="96" spans="1:9" ht="13.5" thickBot="1">
      <c r="A96" s="96"/>
      <c r="B96" s="102"/>
      <c r="C96" s="102"/>
      <c r="D96" s="102"/>
      <c r="E96" s="102"/>
      <c r="F96" s="102"/>
      <c r="G96" s="52"/>
      <c r="H96" s="102"/>
      <c r="I96" s="102"/>
    </row>
    <row r="97" spans="1:9" ht="32.25" customHeight="1">
      <c r="A97" s="81" t="s">
        <v>114</v>
      </c>
      <c r="B97" s="87" t="s">
        <v>107</v>
      </c>
      <c r="C97" s="87" t="s">
        <v>108</v>
      </c>
      <c r="D97" s="87" t="s">
        <v>109</v>
      </c>
      <c r="E97" s="87" t="s">
        <v>109</v>
      </c>
      <c r="F97" s="87" t="s">
        <v>110</v>
      </c>
      <c r="G97" s="87" t="s">
        <v>113</v>
      </c>
      <c r="H97" s="87" t="s">
        <v>97</v>
      </c>
      <c r="I97" s="87" t="s">
        <v>98</v>
      </c>
    </row>
    <row r="98" spans="1:9">
      <c r="A98" s="82"/>
      <c r="B98" s="88"/>
      <c r="C98" s="88"/>
      <c r="D98" s="88"/>
      <c r="E98" s="88"/>
      <c r="F98" s="88"/>
      <c r="G98" s="88"/>
      <c r="H98" s="88"/>
      <c r="I98" s="88"/>
    </row>
    <row r="99" spans="1:9" ht="13.5" thickBot="1">
      <c r="A99" s="83"/>
      <c r="B99" s="89"/>
      <c r="C99" s="89"/>
      <c r="D99" s="89"/>
      <c r="E99" s="89"/>
      <c r="F99" s="89"/>
      <c r="G99" s="89"/>
      <c r="H99" s="89"/>
      <c r="I99" s="89"/>
    </row>
    <row r="100" spans="1:9">
      <c r="A100" s="94" t="s">
        <v>115</v>
      </c>
      <c r="B100" s="100" t="s">
        <v>107</v>
      </c>
      <c r="C100" s="100" t="s">
        <v>108</v>
      </c>
      <c r="D100" s="100" t="s">
        <v>109</v>
      </c>
      <c r="E100" s="100" t="s">
        <v>109</v>
      </c>
      <c r="F100" s="100" t="s">
        <v>31</v>
      </c>
      <c r="G100" s="100" t="s">
        <v>113</v>
      </c>
      <c r="H100" s="100" t="s">
        <v>97</v>
      </c>
      <c r="I100" s="100" t="s">
        <v>98</v>
      </c>
    </row>
    <row r="101" spans="1:9">
      <c r="A101" s="95"/>
      <c r="B101" s="101"/>
      <c r="C101" s="101"/>
      <c r="D101" s="101"/>
      <c r="E101" s="101"/>
      <c r="F101" s="101"/>
      <c r="G101" s="101"/>
      <c r="H101" s="101"/>
      <c r="I101" s="101"/>
    </row>
    <row r="102" spans="1:9" ht="13.5" thickBot="1">
      <c r="A102" s="96"/>
      <c r="B102" s="102"/>
      <c r="C102" s="102"/>
      <c r="D102" s="102"/>
      <c r="E102" s="102"/>
      <c r="F102" s="102"/>
      <c r="G102" s="102"/>
      <c r="H102" s="102"/>
      <c r="I102" s="102"/>
    </row>
    <row r="103" spans="1:9">
      <c r="A103" s="81" t="s">
        <v>116</v>
      </c>
      <c r="B103" s="87" t="s">
        <v>117</v>
      </c>
      <c r="C103" s="87" t="s">
        <v>118</v>
      </c>
      <c r="D103" s="87" t="s">
        <v>119</v>
      </c>
      <c r="E103" s="87" t="s">
        <v>119</v>
      </c>
      <c r="F103" s="87" t="s">
        <v>31</v>
      </c>
      <c r="G103" s="87" t="s">
        <v>113</v>
      </c>
      <c r="H103" s="87" t="s">
        <v>97</v>
      </c>
      <c r="I103" s="87" t="s">
        <v>98</v>
      </c>
    </row>
    <row r="104" spans="1:9">
      <c r="A104" s="82"/>
      <c r="B104" s="88"/>
      <c r="C104" s="88"/>
      <c r="D104" s="88"/>
      <c r="E104" s="88"/>
      <c r="F104" s="88"/>
      <c r="G104" s="88"/>
      <c r="H104" s="88"/>
      <c r="I104" s="88"/>
    </row>
    <row r="105" spans="1:9" ht="13.5" thickBot="1">
      <c r="A105" s="83"/>
      <c r="B105" s="89"/>
      <c r="C105" s="89"/>
      <c r="D105" s="89"/>
      <c r="E105" s="89"/>
      <c r="F105" s="89"/>
      <c r="G105" s="89"/>
      <c r="H105" s="89"/>
      <c r="I105" s="89"/>
    </row>
    <row r="106" spans="1:9">
      <c r="A106" s="94" t="s">
        <v>120</v>
      </c>
      <c r="B106" s="100" t="s">
        <v>121</v>
      </c>
      <c r="C106" s="100" t="s">
        <v>108</v>
      </c>
      <c r="D106" s="100" t="s">
        <v>109</v>
      </c>
      <c r="E106" s="100" t="s">
        <v>108</v>
      </c>
      <c r="F106" s="100" t="s">
        <v>110</v>
      </c>
      <c r="G106" s="100" t="s">
        <v>113</v>
      </c>
      <c r="H106" s="100" t="s">
        <v>97</v>
      </c>
      <c r="I106" s="46" t="s">
        <v>98</v>
      </c>
    </row>
    <row r="107" spans="1:9" ht="26">
      <c r="A107" s="95"/>
      <c r="B107" s="101"/>
      <c r="C107" s="101"/>
      <c r="D107" s="101"/>
      <c r="E107" s="101"/>
      <c r="F107" s="101"/>
      <c r="G107" s="101"/>
      <c r="H107" s="101"/>
      <c r="I107" s="50" t="s">
        <v>122</v>
      </c>
    </row>
    <row r="108" spans="1:9" ht="13.5" thickBot="1">
      <c r="A108" s="96"/>
      <c r="B108" s="102"/>
      <c r="C108" s="102"/>
      <c r="D108" s="102"/>
      <c r="E108" s="102"/>
      <c r="F108" s="102"/>
      <c r="G108" s="102"/>
      <c r="H108" s="102"/>
      <c r="I108" s="53"/>
    </row>
    <row r="112" spans="1:9" ht="59.25" customHeight="1" thickBot="1">
      <c r="A112" s="127" t="s">
        <v>123</v>
      </c>
      <c r="B112" s="127"/>
      <c r="C112" s="127"/>
    </row>
    <row r="113" spans="1:3" ht="54.5" thickBot="1">
      <c r="A113" s="54" t="s">
        <v>124</v>
      </c>
      <c r="B113" s="54" t="s">
        <v>125</v>
      </c>
      <c r="C113" s="54" t="s">
        <v>126</v>
      </c>
    </row>
    <row r="114" spans="1:3" ht="13.5">
      <c r="A114" s="115" t="s">
        <v>127</v>
      </c>
      <c r="B114" s="117"/>
      <c r="C114" s="56">
        <v>6</v>
      </c>
    </row>
    <row r="115" spans="1:3" ht="38.5" thickBot="1">
      <c r="A115" s="116"/>
      <c r="B115" s="118"/>
      <c r="C115" s="57" t="s">
        <v>128</v>
      </c>
    </row>
    <row r="116" spans="1:3" ht="36" customHeight="1" thickBot="1">
      <c r="A116" s="58" t="s">
        <v>129</v>
      </c>
      <c r="B116" s="59"/>
      <c r="C116" s="60">
        <v>10</v>
      </c>
    </row>
    <row r="117" spans="1:3">
      <c r="A117" s="55" t="s">
        <v>130</v>
      </c>
      <c r="B117" s="117"/>
      <c r="C117" s="120">
        <v>12</v>
      </c>
    </row>
    <row r="118" spans="1:3">
      <c r="A118" s="61" t="s">
        <v>131</v>
      </c>
      <c r="B118" s="119"/>
      <c r="C118" s="121"/>
    </row>
    <row r="119" spans="1:3" ht="13.5" thickBot="1">
      <c r="A119" s="57" t="s">
        <v>132</v>
      </c>
      <c r="B119" s="118"/>
      <c r="C119" s="122"/>
    </row>
    <row r="120" spans="1:3">
      <c r="A120" s="115" t="s">
        <v>133</v>
      </c>
      <c r="B120" s="117"/>
      <c r="C120" s="120">
        <v>17</v>
      </c>
    </row>
    <row r="121" spans="1:3" ht="13.5" thickBot="1">
      <c r="A121" s="116"/>
      <c r="B121" s="118"/>
      <c r="C121" s="122"/>
    </row>
    <row r="122" spans="1:3">
      <c r="A122" s="115" t="s">
        <v>134</v>
      </c>
      <c r="B122" s="117"/>
      <c r="C122" s="120">
        <v>9</v>
      </c>
    </row>
    <row r="123" spans="1:3">
      <c r="A123" s="123"/>
      <c r="B123" s="119"/>
      <c r="C123" s="121"/>
    </row>
    <row r="124" spans="1:3" ht="22.5" customHeight="1" thickBot="1">
      <c r="A124" s="116"/>
      <c r="B124" s="118"/>
      <c r="C124" s="122"/>
    </row>
    <row r="125" spans="1:3">
      <c r="A125" s="55" t="s">
        <v>135</v>
      </c>
      <c r="B125" s="117"/>
      <c r="C125" s="120">
        <v>13.5</v>
      </c>
    </row>
    <row r="126" spans="1:3">
      <c r="A126" s="61" t="s">
        <v>131</v>
      </c>
      <c r="B126" s="119"/>
      <c r="C126" s="121"/>
    </row>
    <row r="127" spans="1:3" ht="13.5" thickBot="1">
      <c r="A127" s="57" t="s">
        <v>132</v>
      </c>
      <c r="B127" s="118"/>
      <c r="C127" s="122"/>
    </row>
    <row r="128" spans="1:3">
      <c r="A128" s="55" t="s">
        <v>136</v>
      </c>
      <c r="B128" s="117"/>
      <c r="C128" s="120">
        <v>15</v>
      </c>
    </row>
    <row r="129" spans="1:3">
      <c r="A129" s="61" t="s">
        <v>132</v>
      </c>
      <c r="B129" s="119"/>
      <c r="C129" s="121"/>
    </row>
    <row r="130" spans="1:3" ht="13.5" thickBot="1">
      <c r="A130" s="62"/>
      <c r="B130" s="118"/>
      <c r="C130" s="122"/>
    </row>
    <row r="131" spans="1:3">
      <c r="A131" s="55" t="s">
        <v>137</v>
      </c>
      <c r="B131" s="117"/>
      <c r="C131" s="120">
        <v>17</v>
      </c>
    </row>
    <row r="132" spans="1:3">
      <c r="A132" s="61" t="s">
        <v>132</v>
      </c>
      <c r="B132" s="119"/>
      <c r="C132" s="121"/>
    </row>
    <row r="133" spans="1:3" ht="13.5" thickBot="1">
      <c r="A133" s="62"/>
      <c r="B133" s="118"/>
      <c r="C133" s="122"/>
    </row>
    <row r="134" spans="1:3">
      <c r="A134" s="115" t="s">
        <v>138</v>
      </c>
      <c r="B134" s="128"/>
      <c r="C134" s="117">
        <v>20</v>
      </c>
    </row>
    <row r="135" spans="1:3">
      <c r="A135" s="123"/>
      <c r="B135" s="129"/>
      <c r="C135" s="119"/>
    </row>
    <row r="136" spans="1:3" ht="35.25" customHeight="1" thickBot="1">
      <c r="A136" s="116"/>
      <c r="B136" s="130"/>
      <c r="C136" s="118"/>
    </row>
    <row r="137" spans="1:3">
      <c r="A137" s="55" t="s">
        <v>139</v>
      </c>
      <c r="B137" s="117"/>
      <c r="C137" s="120">
        <v>25.5</v>
      </c>
    </row>
    <row r="138" spans="1:3">
      <c r="A138" s="61" t="s">
        <v>132</v>
      </c>
      <c r="B138" s="119"/>
      <c r="C138" s="121"/>
    </row>
    <row r="139" spans="1:3">
      <c r="A139" s="63"/>
      <c r="B139" s="119"/>
      <c r="C139" s="121"/>
    </row>
    <row r="140" spans="1:3" ht="27" customHeight="1" thickBot="1">
      <c r="A140" s="62"/>
      <c r="B140" s="118"/>
      <c r="C140" s="122"/>
    </row>
    <row r="141" spans="1:3">
      <c r="A141" s="115" t="s">
        <v>140</v>
      </c>
      <c r="B141" s="128"/>
      <c r="C141" s="120">
        <v>27</v>
      </c>
    </row>
    <row r="142" spans="1:3">
      <c r="A142" s="123"/>
      <c r="B142" s="129"/>
      <c r="C142" s="121"/>
    </row>
    <row r="143" spans="1:3">
      <c r="A143" s="123"/>
      <c r="B143" s="129"/>
      <c r="C143" s="121"/>
    </row>
    <row r="144" spans="1:3" ht="27" customHeight="1" thickBot="1">
      <c r="A144" s="116"/>
      <c r="B144" s="130"/>
      <c r="C144" s="122"/>
    </row>
    <row r="145" spans="1:3">
      <c r="A145" s="115" t="s">
        <v>141</v>
      </c>
      <c r="B145" s="124"/>
      <c r="C145" s="120">
        <v>30</v>
      </c>
    </row>
    <row r="146" spans="1:3">
      <c r="A146" s="123"/>
      <c r="B146" s="125"/>
      <c r="C146" s="121"/>
    </row>
    <row r="147" spans="1:3">
      <c r="A147" s="123"/>
      <c r="B147" s="125"/>
      <c r="C147" s="121"/>
    </row>
    <row r="148" spans="1:3">
      <c r="A148" s="123"/>
      <c r="B148" s="125"/>
      <c r="C148" s="121"/>
    </row>
    <row r="149" spans="1:3" ht="32.25" customHeight="1" thickBot="1">
      <c r="A149" s="116"/>
      <c r="B149" s="126"/>
      <c r="C149" s="122"/>
    </row>
    <row r="150" spans="1:3" ht="14" thickBot="1">
      <c r="A150" s="60" t="s">
        <v>142</v>
      </c>
      <c r="B150" s="64" t="s">
        <v>31</v>
      </c>
      <c r="C150" s="60">
        <v>45</v>
      </c>
    </row>
    <row r="151" spans="1:3" ht="38" thickBot="1">
      <c r="A151" s="59" t="s">
        <v>143</v>
      </c>
      <c r="B151" s="64" t="s">
        <v>31</v>
      </c>
      <c r="C151" s="60">
        <v>57</v>
      </c>
    </row>
    <row r="152" spans="1:3" ht="13.5" thickBot="1">
      <c r="A152" s="58" t="s">
        <v>144</v>
      </c>
      <c r="B152" s="64" t="s">
        <v>31</v>
      </c>
      <c r="C152" s="59" t="s">
        <v>145</v>
      </c>
    </row>
  </sheetData>
  <mergeCells count="276">
    <mergeCell ref="A145:A149"/>
    <mergeCell ref="B145:B149"/>
    <mergeCell ref="C145:C149"/>
    <mergeCell ref="A112:C112"/>
    <mergeCell ref="A134:A136"/>
    <mergeCell ref="B134:B136"/>
    <mergeCell ref="C134:C136"/>
    <mergeCell ref="B137:B140"/>
    <mergeCell ref="C137:C140"/>
    <mergeCell ref="A141:A144"/>
    <mergeCell ref="B141:B144"/>
    <mergeCell ref="C141:C144"/>
    <mergeCell ref="B125:B127"/>
    <mergeCell ref="C125:C127"/>
    <mergeCell ref="B128:B130"/>
    <mergeCell ref="C128:C130"/>
    <mergeCell ref="B131:B133"/>
    <mergeCell ref="C131:C133"/>
    <mergeCell ref="A120:A121"/>
    <mergeCell ref="B120:B121"/>
    <mergeCell ref="C120:C121"/>
    <mergeCell ref="A122:A124"/>
    <mergeCell ref="B122:B124"/>
    <mergeCell ref="C122:C124"/>
    <mergeCell ref="A114:A115"/>
    <mergeCell ref="B114:B115"/>
    <mergeCell ref="B117:B119"/>
    <mergeCell ref="C117:C119"/>
    <mergeCell ref="H106:H108"/>
    <mergeCell ref="G103:G105"/>
    <mergeCell ref="H103:H105"/>
    <mergeCell ref="I103:I105"/>
    <mergeCell ref="A106:A108"/>
    <mergeCell ref="B106:B108"/>
    <mergeCell ref="C106:C108"/>
    <mergeCell ref="D106:D108"/>
    <mergeCell ref="E106:E108"/>
    <mergeCell ref="F106:F108"/>
    <mergeCell ref="G106:G108"/>
    <mergeCell ref="A103:A105"/>
    <mergeCell ref="B103:B105"/>
    <mergeCell ref="C103:C105"/>
    <mergeCell ref="D103:D105"/>
    <mergeCell ref="E103:E105"/>
    <mergeCell ref="F103:F105"/>
    <mergeCell ref="I97:I99"/>
    <mergeCell ref="A100:A102"/>
    <mergeCell ref="B100:B102"/>
    <mergeCell ref="C100:C102"/>
    <mergeCell ref="D100:D102"/>
    <mergeCell ref="E100:E102"/>
    <mergeCell ref="F100:F102"/>
    <mergeCell ref="G100:G102"/>
    <mergeCell ref="H100:H102"/>
    <mergeCell ref="I100:I102"/>
    <mergeCell ref="A97:A99"/>
    <mergeCell ref="B97:B99"/>
    <mergeCell ref="C97:C99"/>
    <mergeCell ref="D97:D99"/>
    <mergeCell ref="E97:E99"/>
    <mergeCell ref="F97:F99"/>
    <mergeCell ref="G97:G99"/>
    <mergeCell ref="H97:H99"/>
    <mergeCell ref="C94:C96"/>
    <mergeCell ref="D94:D96"/>
    <mergeCell ref="E94:E96"/>
    <mergeCell ref="F94:F96"/>
    <mergeCell ref="A91:A93"/>
    <mergeCell ref="B91:B93"/>
    <mergeCell ref="C91:C93"/>
    <mergeCell ref="D91:D93"/>
    <mergeCell ref="E91:E93"/>
    <mergeCell ref="F91:F93"/>
    <mergeCell ref="H91:H93"/>
    <mergeCell ref="I91:I93"/>
    <mergeCell ref="H94:H96"/>
    <mergeCell ref="I94:I96"/>
    <mergeCell ref="G85:G87"/>
    <mergeCell ref="H85:H87"/>
    <mergeCell ref="I85:I87"/>
    <mergeCell ref="A88:A90"/>
    <mergeCell ref="B88:B90"/>
    <mergeCell ref="C88:C90"/>
    <mergeCell ref="D88:D90"/>
    <mergeCell ref="E88:E90"/>
    <mergeCell ref="F88:F90"/>
    <mergeCell ref="G88:G90"/>
    <mergeCell ref="A85:A87"/>
    <mergeCell ref="B85:B87"/>
    <mergeCell ref="C85:C87"/>
    <mergeCell ref="D85:D87"/>
    <mergeCell ref="E85:E87"/>
    <mergeCell ref="F85:F87"/>
    <mergeCell ref="H88:H90"/>
    <mergeCell ref="I88:I90"/>
    <mergeCell ref="A94:A96"/>
    <mergeCell ref="B94:B96"/>
    <mergeCell ref="A81:A84"/>
    <mergeCell ref="C81:C84"/>
    <mergeCell ref="D81:D84"/>
    <mergeCell ref="E81:E84"/>
    <mergeCell ref="F81:F84"/>
    <mergeCell ref="G81:G84"/>
    <mergeCell ref="H81:H84"/>
    <mergeCell ref="I81:I84"/>
    <mergeCell ref="A77:A80"/>
    <mergeCell ref="C77:C80"/>
    <mergeCell ref="D77:D80"/>
    <mergeCell ref="E77:E80"/>
    <mergeCell ref="F77:F80"/>
    <mergeCell ref="G77:G80"/>
    <mergeCell ref="A73:A76"/>
    <mergeCell ref="C73:C76"/>
    <mergeCell ref="D73:D76"/>
    <mergeCell ref="E73:E76"/>
    <mergeCell ref="F73:F76"/>
    <mergeCell ref="G73:G76"/>
    <mergeCell ref="H73:H76"/>
    <mergeCell ref="I73:I76"/>
    <mergeCell ref="H77:H80"/>
    <mergeCell ref="I77:I80"/>
    <mergeCell ref="A69:A72"/>
    <mergeCell ref="B69:B72"/>
    <mergeCell ref="C69:C72"/>
    <mergeCell ref="D69:D72"/>
    <mergeCell ref="E69:E72"/>
    <mergeCell ref="F69:F72"/>
    <mergeCell ref="G69:G72"/>
    <mergeCell ref="H69:H72"/>
    <mergeCell ref="I69:I72"/>
    <mergeCell ref="G61:G64"/>
    <mergeCell ref="H61:H64"/>
    <mergeCell ref="I61:I64"/>
    <mergeCell ref="A65:A68"/>
    <mergeCell ref="B65:B68"/>
    <mergeCell ref="C65:C68"/>
    <mergeCell ref="D65:D68"/>
    <mergeCell ref="E65:E68"/>
    <mergeCell ref="F65:F68"/>
    <mergeCell ref="G65:G68"/>
    <mergeCell ref="A61:A64"/>
    <mergeCell ref="B61:B64"/>
    <mergeCell ref="C61:C64"/>
    <mergeCell ref="D61:D64"/>
    <mergeCell ref="E61:E64"/>
    <mergeCell ref="F61:F64"/>
    <mergeCell ref="H65:H68"/>
    <mergeCell ref="I65:I68"/>
    <mergeCell ref="A57:A60"/>
    <mergeCell ref="C57:C60"/>
    <mergeCell ref="D57:D60"/>
    <mergeCell ref="E57:E60"/>
    <mergeCell ref="F57:F60"/>
    <mergeCell ref="H57:H60"/>
    <mergeCell ref="I57:I60"/>
    <mergeCell ref="A53:A56"/>
    <mergeCell ref="C53:C56"/>
    <mergeCell ref="D53:D56"/>
    <mergeCell ref="E53:E56"/>
    <mergeCell ref="F53:F56"/>
    <mergeCell ref="G53:G56"/>
    <mergeCell ref="A48:A52"/>
    <mergeCell ref="C48:C52"/>
    <mergeCell ref="D48:D52"/>
    <mergeCell ref="E48:E52"/>
    <mergeCell ref="F48:F52"/>
    <mergeCell ref="G48:G52"/>
    <mergeCell ref="H48:H52"/>
    <mergeCell ref="I48:I52"/>
    <mergeCell ref="H53:H56"/>
    <mergeCell ref="I53:I56"/>
    <mergeCell ref="A43:A47"/>
    <mergeCell ref="B43:B47"/>
    <mergeCell ref="C43:C47"/>
    <mergeCell ref="D43:D47"/>
    <mergeCell ref="E43:E47"/>
    <mergeCell ref="F43:F47"/>
    <mergeCell ref="G43:G47"/>
    <mergeCell ref="H43:H47"/>
    <mergeCell ref="I43:I47"/>
    <mergeCell ref="G35:G38"/>
    <mergeCell ref="H35:H38"/>
    <mergeCell ref="I35:I38"/>
    <mergeCell ref="A39:A42"/>
    <mergeCell ref="B39:B42"/>
    <mergeCell ref="C39:C42"/>
    <mergeCell ref="D39:D42"/>
    <mergeCell ref="E39:E42"/>
    <mergeCell ref="F39:F42"/>
    <mergeCell ref="G39:G42"/>
    <mergeCell ref="A35:A38"/>
    <mergeCell ref="B35:B38"/>
    <mergeCell ref="C35:C38"/>
    <mergeCell ref="D35:D38"/>
    <mergeCell ref="E35:E38"/>
    <mergeCell ref="F35:F38"/>
    <mergeCell ref="H39:H42"/>
    <mergeCell ref="I39:I42"/>
    <mergeCell ref="H27:H30"/>
    <mergeCell ref="I27:I30"/>
    <mergeCell ref="A31:A34"/>
    <mergeCell ref="B31:B34"/>
    <mergeCell ref="C31:C34"/>
    <mergeCell ref="D31:D34"/>
    <mergeCell ref="E31:E34"/>
    <mergeCell ref="F31:F34"/>
    <mergeCell ref="H31:H34"/>
    <mergeCell ref="I31:I34"/>
    <mergeCell ref="A27:A30"/>
    <mergeCell ref="B27:B30"/>
    <mergeCell ref="C27:C30"/>
    <mergeCell ref="D27:D30"/>
    <mergeCell ref="E27:E30"/>
    <mergeCell ref="F27:F30"/>
    <mergeCell ref="A23:A26"/>
    <mergeCell ref="B23:B26"/>
    <mergeCell ref="C23:C26"/>
    <mergeCell ref="D23:D26"/>
    <mergeCell ref="E23:E26"/>
    <mergeCell ref="F23:F26"/>
    <mergeCell ref="G23:G26"/>
    <mergeCell ref="H23:H26"/>
    <mergeCell ref="I23:I26"/>
    <mergeCell ref="A19:A22"/>
    <mergeCell ref="B19:B22"/>
    <mergeCell ref="C19:C22"/>
    <mergeCell ref="D19:D22"/>
    <mergeCell ref="E19:E22"/>
    <mergeCell ref="F19:F22"/>
    <mergeCell ref="G19:G22"/>
    <mergeCell ref="H19:H22"/>
    <mergeCell ref="I19:I22"/>
    <mergeCell ref="G11:G14"/>
    <mergeCell ref="H11:H14"/>
    <mergeCell ref="I11:I14"/>
    <mergeCell ref="A15:A18"/>
    <mergeCell ref="B15:B18"/>
    <mergeCell ref="C15:C18"/>
    <mergeCell ref="D15:D18"/>
    <mergeCell ref="E15:E18"/>
    <mergeCell ref="F15:F18"/>
    <mergeCell ref="G15:G18"/>
    <mergeCell ref="A11:A14"/>
    <mergeCell ref="B11:B14"/>
    <mergeCell ref="C11:C14"/>
    <mergeCell ref="D11:D14"/>
    <mergeCell ref="E11:E14"/>
    <mergeCell ref="F11:F14"/>
    <mergeCell ref="H15:H18"/>
    <mergeCell ref="I15:I18"/>
    <mergeCell ref="A7:A10"/>
    <mergeCell ref="B7:B10"/>
    <mergeCell ref="C7:C10"/>
    <mergeCell ref="D7:D10"/>
    <mergeCell ref="E7:E10"/>
    <mergeCell ref="F7:F10"/>
    <mergeCell ref="G7:G10"/>
    <mergeCell ref="H7:H10"/>
    <mergeCell ref="I7:I10"/>
    <mergeCell ref="H1:H2"/>
    <mergeCell ref="I1:I2"/>
    <mergeCell ref="A3:A6"/>
    <mergeCell ref="B3:B6"/>
    <mergeCell ref="C3:C6"/>
    <mergeCell ref="D3:D6"/>
    <mergeCell ref="E3:E6"/>
    <mergeCell ref="F3:F6"/>
    <mergeCell ref="G3:G6"/>
    <mergeCell ref="H3:H6"/>
    <mergeCell ref="A1:A2"/>
    <mergeCell ref="B1:B2"/>
    <mergeCell ref="D1:D2"/>
    <mergeCell ref="E1:E2"/>
    <mergeCell ref="F1:F2"/>
    <mergeCell ref="G1:G2"/>
    <mergeCell ref="I3:I6"/>
  </mergeCells>
  <hyperlinks>
    <hyperlink ref="B1" r:id="rId1" location="Anchor-Tipo-41834" display="http://www.guiadotrc.com.br/lei/qresumof.asp - Anchor-Tipo-41834" xr:uid="{D0A73757-A4EB-4CA5-BD9B-6CFD784D7951}"/>
    <hyperlink ref="C2" r:id="rId2" display="http://www.guiadotrc.com.br/lei/pesomaximopermitido.asp" xr:uid="{51D0BBC4-CC46-4F3B-BB17-1CD270340108}"/>
    <hyperlink ref="D1" r:id="rId3" location="Anchor-25522" display="http://www.guiadotrc.com.br/lei/qresumof.asp - Anchor-25522" xr:uid="{9DEB7707-1A2F-4650-B14C-0B86E269CD20}"/>
    <hyperlink ref="E1" r:id="rId4" display="http://www.dnit.gov.br/menu/rodovias/QFV.pdf" xr:uid="{8585D91B-DFC5-4D47-A03A-C4F504FA5FC3}"/>
    <hyperlink ref="B3" r:id="rId5" location="Anchor-6,-45163" display="http://www.guiadotrc.com.br/lei/qresumof.asp - Anchor-6,-45163" xr:uid="{A237E8F6-30ED-4C2D-99D5-75AB1BFED623}"/>
    <hyperlink ref="B7" r:id="rId6" location="Anchor-4862" display="Anchor-4862" xr:uid="{AB0E148E-E4EF-4E32-AA7F-A9B4B9CFCF23}"/>
    <hyperlink ref="B15" r:id="rId7" location="Anchor-EIX-17393" display="http://www.guiadotrc.com.br/lei/qresumof.asp - Anchor-EIX-17393" xr:uid="{A281304A-A77D-4F72-82D2-7D6F4307495A}"/>
    <hyperlink ref="G19" r:id="rId8" location="Anchor-42112" display="http://www.guiadotrc.com.br/lei/qresumof.asp - Anchor-42112" xr:uid="{621C429A-82AA-4972-95ED-B27B2C0A1C13}"/>
    <hyperlink ref="G23" r:id="rId9" location="Anchor-42112" display="http://www.guiadotrc.com.br/lei/qresumof.asp - Anchor-42112" xr:uid="{6E504FA8-362B-40FB-80D0-8C6F95A8F8B5}"/>
    <hyperlink ref="G28" r:id="rId10" location="Anchor-42112" display="http://www.guiadotrc.com.br/lei/qresumof.asp - Anchor-42112" xr:uid="{25424892-0754-429A-B716-5F882C5ACCB6}"/>
    <hyperlink ref="G32" r:id="rId11" location="Anchor-42112" display="http://www.guiadotrc.com.br/lei/qresumof.asp - Anchor-42112" xr:uid="{B2B303C5-3228-4308-ADDF-833F48326D19}"/>
    <hyperlink ref="B49" r:id="rId12" location="Anchor-22949" display="http://www.guiadotrc.com.br/lei/qresumof.asp - Anchor-22949" xr:uid="{AEABB4C0-1B83-46BA-B5BD-F4FEB67BE94F}"/>
    <hyperlink ref="B54" r:id="rId13" location="Anchor-22949" display="http://www.guiadotrc.com.br/lei/qresumof.asp - Anchor-22949" xr:uid="{9997BB0A-468E-47E1-8BB7-039445FA408C}"/>
    <hyperlink ref="B58" r:id="rId14" location="Anchor-22949" display="http://www.guiadotrc.com.br/lei/qresumof.asp - Anchor-22949" xr:uid="{01A91C57-6D41-43B2-897A-4988ABFA3CC0}"/>
    <hyperlink ref="G58" r:id="rId15" location="Anchor-7977" display="http://www.guiadotrc.com.br/lei/qresumof.asp - Anchor-7977" xr:uid="{F0F9A6F2-E0C8-4DF3-93B2-27239409ABF4}"/>
    <hyperlink ref="B74" r:id="rId16" location="Anchor-22949" display="http://www.guiadotrc.com.br/lei/qresumof.asp - Anchor-22949" xr:uid="{F1097940-0D5A-40D7-9774-3C107DE1C99B}"/>
    <hyperlink ref="B78" r:id="rId17" location="Anchor-22949" display="http://www.guiadotrc.com.br/lei/qresumof.asp - Anchor-22949" xr:uid="{5C9B44A5-1EEF-4845-BAEE-FF8635185FE8}"/>
    <hyperlink ref="B82" r:id="rId18" location="Anchor-22949" display="http://www.guiadotrc.com.br/lei/qresumof.asp - Anchor-22949" xr:uid="{186206C9-4725-431E-8919-36A59AC4722E}"/>
    <hyperlink ref="G92" r:id="rId19" location="Anchor-17160" display="http://www.guiadotrc.com.br/lei/qresumof.asp - Anchor-17160" xr:uid="{83F7F4B0-F13B-4065-BC81-40438B580CBC}"/>
    <hyperlink ref="I107" r:id="rId20" location="Anchor-41360" display="http://www.guiadotrc.com.br/lei/qresumof.asp - Anchor-41360" xr:uid="{5470565E-4CAE-4048-B144-8BB82885993C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1"/>
  <drawing r:id="rId2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AEREO</vt:lpstr>
      <vt:lpstr>RODO</vt:lpstr>
      <vt:lpstr>M3 VEICULO</vt:lpstr>
      <vt:lpstr>PESO EIXO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Dino Grejo</dc:creator>
  <cp:lastModifiedBy>Dino Grejo</cp:lastModifiedBy>
  <dcterms:created xsi:type="dcterms:W3CDTF">2019-10-30T13:39:00Z</dcterms:created>
  <dcterms:modified xsi:type="dcterms:W3CDTF">2024-09-19T12:57:52Z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