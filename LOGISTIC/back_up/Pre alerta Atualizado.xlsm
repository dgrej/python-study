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C:\Users\dino.grejo\Documents\back_up\"/>
    </mc:Choice>
  </mc:AlternateContent>
  <xr:revisionPtr revIDLastSave="0" documentId="8_{EC0D1857-9B70-4C9C-90DD-1F1F08E46823}" xr6:coauthVersionLast="46" xr6:coauthVersionMax="46" xr10:uidLastSave="{00000000-0000-0000-0000-000000000000}"/>
  <bookViews>
    <workbookView xWindow="0" yWindow="0" windowWidth="23730" windowHeight="13020" tabRatio="805" activeTab="1" xr2:uid="{00000000-000D-0000-FFFF-FFFF00000000}"/>
  </bookViews>
  <sheets>
    <sheet name="PRE ALERTA RODO" sheetId="1" r:id="rId1"/>
    <sheet name="PRE ALERTA LOCAL " sheetId="5" r:id="rId2"/>
    <sheet name="VALOR DA CARGA" sheetId="12" r:id="rId3"/>
    <sheet name="CUBAGEM RODO" sheetId="17" r:id="rId4"/>
    <sheet name="FROTA GRU" sheetId="13" r:id="rId5"/>
    <sheet name="JEM" sheetId="15" r:id="rId6"/>
    <sheet name="ZMRC - RODIZIO_SP" sheetId="16" r:id="rId7"/>
    <sheet name="placas " sheetId="4" state="hidden" r:id="rId8"/>
    <sheet name="Seguranca " sheetId="7" state="hidden" r:id="rId9"/>
    <sheet name="Motoristas " sheetId="6" r:id="rId10"/>
    <sheet name="prestadores serviços" sheetId="14" state="hidden" r:id="rId11"/>
    <sheet name="sn" sheetId="8" state="hidden" r:id="rId12"/>
    <sheet name="carga" sheetId="9" state="hidden" r:id="rId13"/>
  </sheets>
  <definedNames>
    <definedName name="_xlnm._FilterDatabase" localSheetId="9" hidden="1">'Motoristas '!$A$2:$A$81</definedName>
    <definedName name="_xlnm._FilterDatabase" localSheetId="7" hidden="1">'placas '!$A$1:$A$202</definedName>
    <definedName name="_xlnm._FilterDatabase" localSheetId="0" hidden="1">'PRE ALERTA RODO'!$B$3:$J$8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2" i="12" l="1"/>
  <c r="I7" i="17" l="1"/>
  <c r="J7" i="17" s="1"/>
  <c r="I8" i="17"/>
  <c r="J8" i="17" s="1"/>
  <c r="I9" i="17"/>
  <c r="J9" i="17" s="1"/>
  <c r="I10" i="17"/>
  <c r="J10" i="17" s="1"/>
  <c r="I11" i="17"/>
  <c r="J11" i="17" s="1"/>
  <c r="I12" i="17"/>
  <c r="J12" i="17" s="1"/>
  <c r="I13" i="17"/>
  <c r="J13" i="17" s="1"/>
  <c r="I14" i="17"/>
  <c r="J14" i="17" s="1"/>
  <c r="I15" i="17"/>
  <c r="J15" i="17" s="1"/>
  <c r="I16" i="17"/>
  <c r="J16" i="17" s="1"/>
  <c r="I17" i="17"/>
  <c r="J17" i="17" s="1"/>
  <c r="I18" i="17"/>
  <c r="J18" i="17" s="1"/>
  <c r="I19" i="17"/>
  <c r="J19" i="17" s="1"/>
  <c r="I20" i="17"/>
  <c r="J20" i="17" s="1"/>
  <c r="I21" i="17"/>
  <c r="J21" i="17" s="1"/>
  <c r="I22" i="17"/>
  <c r="J22" i="17" s="1"/>
  <c r="I23" i="17"/>
  <c r="J23" i="17" s="1"/>
  <c r="I24" i="17"/>
  <c r="J24" i="17" s="1"/>
  <c r="I25" i="17"/>
  <c r="J25" i="17" s="1"/>
  <c r="I26" i="17"/>
  <c r="J26" i="17" s="1"/>
  <c r="I27" i="17"/>
  <c r="J27" i="17" s="1"/>
  <c r="I28" i="17"/>
  <c r="J28" i="17" s="1"/>
  <c r="I29" i="17"/>
  <c r="J29" i="17" s="1"/>
  <c r="I30" i="17"/>
  <c r="J30" i="17" s="1"/>
  <c r="I31" i="17"/>
  <c r="J31" i="17" s="1"/>
  <c r="I32" i="17"/>
  <c r="J32" i="17" s="1"/>
  <c r="I33" i="17"/>
  <c r="J33" i="17" s="1"/>
  <c r="I34" i="17"/>
  <c r="J34" i="17" s="1"/>
  <c r="I35" i="17"/>
  <c r="J35" i="17" s="1"/>
  <c r="I36" i="17"/>
  <c r="J36" i="17" s="1"/>
  <c r="I37" i="17"/>
  <c r="J37" i="17" s="1"/>
  <c r="I38" i="17"/>
  <c r="J38" i="17" s="1"/>
  <c r="I39" i="17"/>
  <c r="J39" i="17" s="1"/>
  <c r="I40" i="17"/>
  <c r="J40" i="17" s="1"/>
  <c r="I41" i="17"/>
  <c r="J41" i="17" s="1"/>
  <c r="I42" i="17"/>
  <c r="J42" i="17" s="1"/>
  <c r="I43" i="17"/>
  <c r="J43" i="17" s="1"/>
  <c r="I44" i="17"/>
  <c r="J44" i="17" s="1"/>
  <c r="I45" i="17"/>
  <c r="J45" i="17" s="1"/>
  <c r="I46" i="17"/>
  <c r="J46" i="17" s="1"/>
  <c r="I47" i="17"/>
  <c r="J47" i="17" s="1"/>
  <c r="I48" i="17"/>
  <c r="J48" i="17" s="1"/>
  <c r="I49" i="17"/>
  <c r="J49" i="17" s="1"/>
  <c r="I50" i="17"/>
  <c r="J50" i="17" s="1"/>
  <c r="I51" i="17"/>
  <c r="J51" i="17" s="1"/>
  <c r="I52" i="17"/>
  <c r="J52" i="17" s="1"/>
  <c r="I53" i="17"/>
  <c r="J53" i="17" s="1"/>
  <c r="I54" i="17"/>
  <c r="J54" i="17" s="1"/>
  <c r="I55" i="17"/>
  <c r="J55" i="17" s="1"/>
  <c r="I56" i="17"/>
  <c r="J56" i="17" s="1"/>
  <c r="I57" i="17"/>
  <c r="J57" i="17" s="1"/>
  <c r="I58" i="17"/>
  <c r="J58" i="17" s="1"/>
  <c r="I59" i="17"/>
  <c r="J59" i="17" s="1"/>
  <c r="I60" i="17"/>
  <c r="J60" i="17" s="1"/>
  <c r="I61" i="17"/>
  <c r="J61" i="17" s="1"/>
  <c r="I62" i="17"/>
  <c r="J62" i="17" s="1"/>
  <c r="I63" i="17"/>
  <c r="J63" i="17" s="1"/>
  <c r="I64" i="17"/>
  <c r="J64" i="17" s="1"/>
  <c r="I65" i="17"/>
  <c r="J65" i="17" s="1"/>
  <c r="I66" i="17"/>
  <c r="J66" i="17" s="1"/>
  <c r="I67" i="17"/>
  <c r="J67" i="17" s="1"/>
  <c r="I68" i="17"/>
  <c r="J68" i="17" s="1"/>
  <c r="I69" i="17"/>
  <c r="J69" i="17" s="1"/>
  <c r="I70" i="17"/>
  <c r="J70" i="17" s="1"/>
  <c r="I71" i="17"/>
  <c r="J71" i="17" s="1"/>
  <c r="I72" i="17"/>
  <c r="J72" i="17" s="1"/>
  <c r="I73" i="17"/>
  <c r="J73" i="17" s="1"/>
  <c r="I74" i="17"/>
  <c r="J74" i="17" s="1"/>
  <c r="I75" i="17"/>
  <c r="J75" i="17" s="1"/>
  <c r="I76" i="17"/>
  <c r="J76" i="17" s="1"/>
  <c r="I77" i="17"/>
  <c r="J77" i="17" s="1"/>
  <c r="I78" i="17"/>
  <c r="J78" i="17" s="1"/>
  <c r="I79" i="17"/>
  <c r="J79" i="17" s="1"/>
  <c r="I80" i="17"/>
  <c r="J80" i="17" s="1"/>
  <c r="I81" i="17"/>
  <c r="J81" i="17" s="1"/>
  <c r="I82" i="17"/>
  <c r="J82" i="17" s="1"/>
  <c r="I83" i="17"/>
  <c r="J83" i="17" s="1"/>
  <c r="I84" i="17"/>
  <c r="J84" i="17" s="1"/>
  <c r="I85" i="17"/>
  <c r="J85" i="17" s="1"/>
  <c r="I86" i="17"/>
  <c r="J86" i="17" s="1"/>
  <c r="I87" i="17"/>
  <c r="J87" i="17" s="1"/>
  <c r="I88" i="17"/>
  <c r="J88" i="17" s="1"/>
  <c r="I89" i="17"/>
  <c r="J89" i="17" s="1"/>
  <c r="I90" i="17"/>
  <c r="J90" i="17" s="1"/>
  <c r="I91" i="17"/>
  <c r="J91" i="17" s="1"/>
  <c r="I92" i="17"/>
  <c r="J92" i="17" s="1"/>
  <c r="I93" i="17"/>
  <c r="J93" i="17" s="1"/>
  <c r="I94" i="17"/>
  <c r="J94" i="17" s="1"/>
  <c r="I95" i="17"/>
  <c r="J95" i="17" s="1"/>
  <c r="I96" i="17"/>
  <c r="J96" i="17" s="1"/>
  <c r="I97" i="17"/>
  <c r="J97" i="17" s="1"/>
  <c r="I98" i="17"/>
  <c r="J98" i="17" s="1"/>
  <c r="I99" i="17"/>
  <c r="J99" i="17" s="1"/>
  <c r="I100" i="17"/>
  <c r="I101" i="17"/>
  <c r="J101" i="17" s="1"/>
  <c r="I102" i="17"/>
  <c r="J102" i="17" s="1"/>
  <c r="I103" i="17"/>
  <c r="J103" i="17" s="1"/>
  <c r="I104" i="17"/>
  <c r="J104" i="17" s="1"/>
  <c r="I105" i="17"/>
  <c r="J105" i="17" s="1"/>
  <c r="I106" i="17"/>
  <c r="J106" i="17" s="1"/>
  <c r="I107" i="17"/>
  <c r="J107" i="17" s="1"/>
  <c r="I108" i="17"/>
  <c r="J108" i="17" s="1"/>
  <c r="I109" i="17"/>
  <c r="J109" i="17" s="1"/>
  <c r="I110" i="17"/>
  <c r="J110" i="17" s="1"/>
  <c r="I111" i="17"/>
  <c r="J111" i="17" s="1"/>
  <c r="I112" i="17"/>
  <c r="J112" i="17" s="1"/>
  <c r="I113" i="17"/>
  <c r="J113" i="17" s="1"/>
  <c r="I114" i="17"/>
  <c r="J114" i="17" s="1"/>
  <c r="I115" i="17"/>
  <c r="J115" i="17" s="1"/>
  <c r="I116" i="17"/>
  <c r="J116" i="17" s="1"/>
  <c r="I117" i="17"/>
  <c r="J117" i="17" s="1"/>
  <c r="I118" i="17"/>
  <c r="J118" i="17" s="1"/>
  <c r="I119" i="17"/>
  <c r="J119" i="17" s="1"/>
  <c r="I120" i="17"/>
  <c r="J120" i="17" s="1"/>
  <c r="I121" i="17"/>
  <c r="J121" i="17" s="1"/>
  <c r="I122" i="17"/>
  <c r="J122" i="17" s="1"/>
  <c r="I123" i="17"/>
  <c r="J123" i="17" s="1"/>
  <c r="I124" i="17"/>
  <c r="J124" i="17" s="1"/>
  <c r="I125" i="17"/>
  <c r="J125" i="17" s="1"/>
  <c r="I126" i="17"/>
  <c r="J126" i="17" s="1"/>
  <c r="I127" i="17"/>
  <c r="J127" i="17" s="1"/>
  <c r="I128" i="17"/>
  <c r="J128" i="17" s="1"/>
  <c r="I129" i="17"/>
  <c r="J129" i="17" s="1"/>
  <c r="J100" i="17"/>
  <c r="I6" i="17"/>
  <c r="J132" i="17"/>
  <c r="D131" i="17"/>
  <c r="I130" i="17" l="1"/>
  <c r="J6" i="17"/>
  <c r="J131" i="17" s="1"/>
  <c r="N42" i="12" l="1"/>
  <c r="N43" i="12" s="1"/>
  <c r="E11" i="1" s="1"/>
  <c r="E3" i="5" l="1"/>
  <c r="D3" i="5"/>
  <c r="G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Heberson de Oliveira da Silva</author>
  </authors>
  <commentList>
    <comment ref="A140" authorId="0" shapeId="0" xr:uid="{00000000-0006-0000-0300-000001000000}">
      <text>
        <r>
          <rPr>
            <b/>
            <sz val="9"/>
            <rFont val="Segoe UI"/>
            <family val="2"/>
          </rPr>
          <t>Moto no nome do Raimundo Notato Brasil</t>
        </r>
      </text>
    </comment>
    <comment ref="A189" authorId="0" shapeId="0" xr:uid="{00000000-0006-0000-0300-000002000000}">
      <text>
        <r>
          <rPr>
            <b/>
            <sz val="9"/>
            <rFont val="Segoe UI"/>
            <family val="2"/>
          </rPr>
          <t>Feita a alteração do posicionamento SENSOR TEMPERATURA AUTOTRAC - 14-6-2019</t>
        </r>
      </text>
    </comment>
    <comment ref="A193" authorId="0" shapeId="0" xr:uid="{00000000-0006-0000-0300-000003000000}">
      <text>
        <r>
          <rPr>
            <b/>
            <sz val="9"/>
            <rFont val="Segoe UI"/>
            <family val="2"/>
          </rPr>
          <t>Feita a alteração do posicionamento SENSOR TEMPERATURA AUTOTRAC - 29-5-2019</t>
        </r>
      </text>
    </comment>
    <comment ref="A194" authorId="0" shapeId="0" xr:uid="{00000000-0006-0000-0300-000004000000}">
      <text>
        <r>
          <rPr>
            <b/>
            <sz val="9"/>
            <rFont val="Segoe UI"/>
            <family val="2"/>
          </rPr>
          <t>Feita a alteração do posicionamento SENSOR TEMPERATURA AUTOTRAC - 25-6-2019</t>
        </r>
      </text>
    </comment>
    <comment ref="A195" authorId="0" shapeId="0" xr:uid="{00000000-0006-0000-0300-000005000000}">
      <text>
        <r>
          <rPr>
            <b/>
            <sz val="9"/>
            <rFont val="Segoe UI"/>
            <family val="2"/>
          </rPr>
          <t>Feita a alteração do posicionamento SENSOR TEMPERATURA AUTOTRAC - 29-5-2019</t>
        </r>
      </text>
    </comment>
    <comment ref="A201" authorId="0" shapeId="0" xr:uid="{00000000-0006-0000-0300-000006000000}">
      <text>
        <r>
          <rPr>
            <b/>
            <sz val="9"/>
            <rFont val="Segoe UI"/>
            <family val="2"/>
          </rPr>
          <t>Feita a alteração do posicionamento SENSOR TEMPERATURA AUTOTRAC - 13-6-2019</t>
        </r>
      </text>
    </comment>
  </commentList>
</comments>
</file>

<file path=xl/sharedStrings.xml><?xml version="1.0" encoding="utf-8"?>
<sst xmlns="http://schemas.openxmlformats.org/spreadsheetml/2006/main" count="1585" uniqueCount="1048">
  <si>
    <t>DATA/HORA DE SAÍDA</t>
  </si>
  <si>
    <t>BASE</t>
  </si>
  <si>
    <t>TRECHO</t>
  </si>
  <si>
    <t>GRU</t>
  </si>
  <si>
    <t>OVT1588</t>
  </si>
  <si>
    <t>NIVEL DE SEGURANÇA</t>
  </si>
  <si>
    <t>T3</t>
  </si>
  <si>
    <t>ESCOLTA</t>
  </si>
  <si>
    <t>N</t>
  </si>
  <si>
    <t xml:space="preserve"> </t>
  </si>
  <si>
    <t>ACOMPANHAMENTO</t>
  </si>
  <si>
    <t>S</t>
  </si>
  <si>
    <t>IATA</t>
  </si>
  <si>
    <t>OBSERVAÇÃO DE ENTREGA</t>
  </si>
  <si>
    <t xml:space="preserve">MEDICAMENTOS PERECIVEIS </t>
  </si>
  <si>
    <t>DATA EMISSÃO</t>
  </si>
  <si>
    <t>CIDADES/DESTINO</t>
  </si>
  <si>
    <t>VOLUME</t>
  </si>
  <si>
    <t>PESO</t>
  </si>
  <si>
    <t xml:space="preserve">MOTORISTA/TELEFONE </t>
  </si>
  <si>
    <t>VEÍCULO/PLACA</t>
  </si>
  <si>
    <t>JIU1035</t>
  </si>
  <si>
    <t>OBSERVAÇÕES / ESCOLTA:</t>
  </si>
  <si>
    <t>EM CASO DE NECESSIDADE DE DESVIO OU ALTERAÇÃO DE ROTA O MOTORISTA DEVE ENVIAR MENSAGEM VIA AUTOTRAC PARA O RASTREAMENTO INFORMANDO O DESVIO, A NOVA ROTA E O MOTIVO DO DESVIO</t>
  </si>
  <si>
    <t>Placa</t>
  </si>
  <si>
    <t>AGW5031</t>
  </si>
  <si>
    <t>BD0207</t>
  </si>
  <si>
    <t>BUF7796</t>
  </si>
  <si>
    <t>BV4893</t>
  </si>
  <si>
    <t>DRS9316</t>
  </si>
  <si>
    <t>GLD0355</t>
  </si>
  <si>
    <t>JDP0004</t>
  </si>
  <si>
    <t>JDP6174</t>
  </si>
  <si>
    <t>JEH3377</t>
  </si>
  <si>
    <t>JEK1749</t>
  </si>
  <si>
    <t>JEL1847</t>
  </si>
  <si>
    <t>JES8424</t>
  </si>
  <si>
    <t>JFA0141</t>
  </si>
  <si>
    <t>JFD0025</t>
  </si>
  <si>
    <t>JFD2244</t>
  </si>
  <si>
    <t>JFE1442</t>
  </si>
  <si>
    <t>JFE1592</t>
  </si>
  <si>
    <t>JFF3696</t>
  </si>
  <si>
    <t>JFJ9782</t>
  </si>
  <si>
    <t>JFN6407</t>
  </si>
  <si>
    <t>JFN6417</t>
  </si>
  <si>
    <t>JFT8161</t>
  </si>
  <si>
    <t>JFT9599</t>
  </si>
  <si>
    <t>JFV9019</t>
  </si>
  <si>
    <t>JGF5666</t>
  </si>
  <si>
    <t>JGI4688</t>
  </si>
  <si>
    <t>JGI4698</t>
  </si>
  <si>
    <t>JGI4718</t>
  </si>
  <si>
    <t>JGI4728</t>
  </si>
  <si>
    <t>JGI4738</t>
  </si>
  <si>
    <t>JGI4748</t>
  </si>
  <si>
    <t>JGI4758</t>
  </si>
  <si>
    <t>JGI4768</t>
  </si>
  <si>
    <t>JGI6164</t>
  </si>
  <si>
    <t>JGJ9717</t>
  </si>
  <si>
    <t>JGP6596</t>
  </si>
  <si>
    <t>JGP6606</t>
  </si>
  <si>
    <t>JGU5912</t>
  </si>
  <si>
    <t>JGW4381</t>
  </si>
  <si>
    <t>JGX0080</t>
  </si>
  <si>
    <t>JHE2107</t>
  </si>
  <si>
    <t>JHE6674</t>
  </si>
  <si>
    <t>JHG0340</t>
  </si>
  <si>
    <t>JHG1381</t>
  </si>
  <si>
    <t>JHG1398</t>
  </si>
  <si>
    <t>JHJ0281</t>
  </si>
  <si>
    <t>JHJ4843</t>
  </si>
  <si>
    <t>JHJ5190</t>
  </si>
  <si>
    <t>JHK3641</t>
  </si>
  <si>
    <t>JHK3991</t>
  </si>
  <si>
    <t>JHL1258</t>
  </si>
  <si>
    <t>JHL9088</t>
  </si>
  <si>
    <t>JHL9228</t>
  </si>
  <si>
    <t>JHM1424</t>
  </si>
  <si>
    <t>JHO4267</t>
  </si>
  <si>
    <t>JHS6555</t>
  </si>
  <si>
    <t>JHU6939</t>
  </si>
  <si>
    <t>JHU6949</t>
  </si>
  <si>
    <t>JHW2166</t>
  </si>
  <si>
    <t>JHX9719</t>
  </si>
  <si>
    <t>JHX9729</t>
  </si>
  <si>
    <t>JHY7885</t>
  </si>
  <si>
    <t>JHZ7969</t>
  </si>
  <si>
    <t>JIA8902</t>
  </si>
  <si>
    <t>JIB4175</t>
  </si>
  <si>
    <t>JIC0181</t>
  </si>
  <si>
    <t>JIC0191</t>
  </si>
  <si>
    <t>JIC0201</t>
  </si>
  <si>
    <t>JIC0211</t>
  </si>
  <si>
    <t>JID0450</t>
  </si>
  <si>
    <t>JIF9302</t>
  </si>
  <si>
    <t>JIF9422</t>
  </si>
  <si>
    <t>JIG1546</t>
  </si>
  <si>
    <t>JIG9583</t>
  </si>
  <si>
    <t>JIN4908</t>
  </si>
  <si>
    <t>JIN5138</t>
  </si>
  <si>
    <t>JIN5148</t>
  </si>
  <si>
    <t>JIO1490</t>
  </si>
  <si>
    <t>JIO1510</t>
  </si>
  <si>
    <t>JIT0129</t>
  </si>
  <si>
    <t>JIT5485</t>
  </si>
  <si>
    <t>JIT8501</t>
  </si>
  <si>
    <t>JIU9733</t>
  </si>
  <si>
    <t>JIV3402</t>
  </si>
  <si>
    <t>JIV3452</t>
  </si>
  <si>
    <t>JIV3482</t>
  </si>
  <si>
    <t>JIV3502</t>
  </si>
  <si>
    <t>JIV3562</t>
  </si>
  <si>
    <t>JJB0615</t>
  </si>
  <si>
    <t>JJB0625</t>
  </si>
  <si>
    <t>JJB0635</t>
  </si>
  <si>
    <t>JJB0645</t>
  </si>
  <si>
    <t>JJB0685</t>
  </si>
  <si>
    <t>JJB0715</t>
  </si>
  <si>
    <t>JJB0725</t>
  </si>
  <si>
    <t>JJB0755</t>
  </si>
  <si>
    <t>JJB0765</t>
  </si>
  <si>
    <t>JJB0775</t>
  </si>
  <si>
    <t>JJB0785</t>
  </si>
  <si>
    <t>JJB0795</t>
  </si>
  <si>
    <t>JJB0805</t>
  </si>
  <si>
    <t>JJB1733</t>
  </si>
  <si>
    <t>JJB1743</t>
  </si>
  <si>
    <t>JJB2363</t>
  </si>
  <si>
    <t>JJB2373</t>
  </si>
  <si>
    <t>JJB5743</t>
  </si>
  <si>
    <t>JJB6235</t>
  </si>
  <si>
    <t>JJB6933</t>
  </si>
  <si>
    <t>JJB6943</t>
  </si>
  <si>
    <t>JJB6983</t>
  </si>
  <si>
    <t>JJB6993</t>
  </si>
  <si>
    <t>JJB7235</t>
  </si>
  <si>
    <t>JJC2000</t>
  </si>
  <si>
    <t>JJC8617</t>
  </si>
  <si>
    <t>JJC8637</t>
  </si>
  <si>
    <t>JJC8647</t>
  </si>
  <si>
    <t>JJC9533</t>
  </si>
  <si>
    <t>JJC9543</t>
  </si>
  <si>
    <t>JJC9553</t>
  </si>
  <si>
    <t>JJD6881</t>
  </si>
  <si>
    <t>JJD7111</t>
  </si>
  <si>
    <t>JJD8111</t>
  </si>
  <si>
    <t>JJH0260</t>
  </si>
  <si>
    <t>JJI4770</t>
  </si>
  <si>
    <t>JJJ1177</t>
  </si>
  <si>
    <t>JJJ4749</t>
  </si>
  <si>
    <t>JJK6538</t>
  </si>
  <si>
    <t>JJK7024</t>
  </si>
  <si>
    <t>JJK7034</t>
  </si>
  <si>
    <t>JJK7094</t>
  </si>
  <si>
    <t>JJK7554</t>
  </si>
  <si>
    <t>JJM5898</t>
  </si>
  <si>
    <t>JJM6042</t>
  </si>
  <si>
    <t>JJP6270</t>
  </si>
  <si>
    <t>JJV2797</t>
  </si>
  <si>
    <t>JJX5047</t>
  </si>
  <si>
    <t>JJX5077</t>
  </si>
  <si>
    <t>JJZ1302</t>
  </si>
  <si>
    <t>JJZ5742</t>
  </si>
  <si>
    <t>JKK7944</t>
  </si>
  <si>
    <t>JKQ0967</t>
  </si>
  <si>
    <t>JKQ0987</t>
  </si>
  <si>
    <t>JKR6140</t>
  </si>
  <si>
    <t>KBX3623</t>
  </si>
  <si>
    <t>KDY6268</t>
  </si>
  <si>
    <t>KDZ8308</t>
  </si>
  <si>
    <t>KEV4271</t>
  </si>
  <si>
    <t>NB423</t>
  </si>
  <si>
    <t>OVO1943</t>
  </si>
  <si>
    <t>OVS8603</t>
  </si>
  <si>
    <t>OVS8604</t>
  </si>
  <si>
    <t>OVS8607</t>
  </si>
  <si>
    <t>OVS8609</t>
  </si>
  <si>
    <t>OVS8610</t>
  </si>
  <si>
    <t>OVS8611</t>
  </si>
  <si>
    <t>OVS9934</t>
  </si>
  <si>
    <t>OVS9943</t>
  </si>
  <si>
    <t>PAB1701</t>
  </si>
  <si>
    <t>PAC2307</t>
  </si>
  <si>
    <t>PAD2416</t>
  </si>
  <si>
    <t>PAD2417</t>
  </si>
  <si>
    <t>PAD2419</t>
  </si>
  <si>
    <t>PAD2420</t>
  </si>
  <si>
    <t>PAD2422</t>
  </si>
  <si>
    <t>PAD2423</t>
  </si>
  <si>
    <t>PAD2451</t>
  </si>
  <si>
    <t>PAD2452</t>
  </si>
  <si>
    <t>PAD2453</t>
  </si>
  <si>
    <t>PAD2454</t>
  </si>
  <si>
    <t>PAD2455</t>
  </si>
  <si>
    <t>PAD2457</t>
  </si>
  <si>
    <t>PAD2458</t>
  </si>
  <si>
    <t>PAD2459</t>
  </si>
  <si>
    <t xml:space="preserve">PAG8969 </t>
  </si>
  <si>
    <t>PAH3253</t>
  </si>
  <si>
    <t>PAH9469</t>
  </si>
  <si>
    <t>PAI8536</t>
  </si>
  <si>
    <t>PAI8537</t>
  </si>
  <si>
    <t>PAV7406</t>
  </si>
  <si>
    <t>PAW9718</t>
  </si>
  <si>
    <t>PBB1008</t>
  </si>
  <si>
    <t>PBK8050</t>
  </si>
  <si>
    <t>PBL6229</t>
  </si>
  <si>
    <t>PBL6230</t>
  </si>
  <si>
    <t>PBL6233</t>
  </si>
  <si>
    <t>PBL6237</t>
  </si>
  <si>
    <t>PBL6240</t>
  </si>
  <si>
    <t>PBL6244</t>
  </si>
  <si>
    <t>PBL6251</t>
  </si>
  <si>
    <t xml:space="preserve">PBL6254 </t>
  </si>
  <si>
    <t>PBL6255</t>
  </si>
  <si>
    <t>PBL6276</t>
  </si>
  <si>
    <t>PBL6278</t>
  </si>
  <si>
    <t>PBL6286</t>
  </si>
  <si>
    <t>PBL6316</t>
  </si>
  <si>
    <t>PBL6326</t>
  </si>
  <si>
    <t>PBL6328</t>
  </si>
  <si>
    <t xml:space="preserve">NIVEL DE SEGURANCA </t>
  </si>
  <si>
    <t>T0</t>
  </si>
  <si>
    <t>T1</t>
  </si>
  <si>
    <t>T2</t>
  </si>
  <si>
    <t>T4</t>
  </si>
  <si>
    <t>T5</t>
  </si>
  <si>
    <t xml:space="preserve">MOTORISTAS </t>
  </si>
  <si>
    <t>ADIAEL OLIVEIRA DOS REIS 81 98899-5314</t>
  </si>
  <si>
    <t>ADRIANO FRANCO 11 972547544</t>
  </si>
  <si>
    <t>ALEXANDRE NASCIMENTO 11 964535440</t>
  </si>
  <si>
    <t>ANDERSON GENEROSO 11 988495348 11947499618</t>
  </si>
  <si>
    <t>BRUNO MENDES DA SILVA 21 99452-9215</t>
  </si>
  <si>
    <t>CARLOS EDUARDO APARECIDO GUIMARAES 11 932360126 11 961954616</t>
  </si>
  <si>
    <t>CLEILTON GOMES DA SILVA 61 993475401 11988117160</t>
  </si>
  <si>
    <t>DUGEVALDO MARQUES COSTA 11 988320490 11 957449463</t>
  </si>
  <si>
    <t xml:space="preserve">EDMILSON FERREIRA DA SILVA 61 991525763 </t>
  </si>
  <si>
    <t>GILSON PEREIRA DA SILVA JUNIOR 11 988112678</t>
  </si>
  <si>
    <t>GILVANILDO AGRIPINO DA CUNHA 81 985117839 81 996055032</t>
  </si>
  <si>
    <t>INACIO GUEDES DE PAIVA NETO 61 996772774</t>
  </si>
  <si>
    <t>JOAO PAULO DE OLIVEIRA LINO 21 979229731</t>
  </si>
  <si>
    <t>JONATHAN APARECIDO SILVA OLIVEIRA 11 947264300</t>
  </si>
  <si>
    <t>JOSE IRAN PEREIRA BARBOSA 11 965977022</t>
  </si>
  <si>
    <t>JOSIEL DOS SANTOS SAMPAIO 11 970262643 11 9 88121271</t>
  </si>
  <si>
    <t>JULIO CESAR SANTOS DE FREITAS 81 84617875</t>
  </si>
  <si>
    <t>LUCIANO MENDONCA COELHO 11 966341928 61 991867876</t>
  </si>
  <si>
    <t>LUIZ ANTONIO DE GODOY JUNIOR 11 932360910 11985612204</t>
  </si>
  <si>
    <t>LUIZ CARLOS DE SOUSA OLIVEIRA 11 988322349 11 980715970</t>
  </si>
  <si>
    <t>MARCILIO CELSO SILVA DE BARROS 81 995225257</t>
  </si>
  <si>
    <t>MARCIO ROGERIO RIBEIRO 11 982601966 11989670993</t>
  </si>
  <si>
    <t>MARCOS ANDRÉ SILVA DE SOUZA PARAIZO 81 98925001</t>
  </si>
  <si>
    <t>MARCOS DA SILVA MONTEIRO 11 958329486</t>
  </si>
  <si>
    <t>MARCOS GOMES DE OLIVEIRA 11 943088102 11 965995590</t>
  </si>
  <si>
    <t>PAULO LEANDRO SUSSUMU YENOHI 11 991945199 11945882762</t>
  </si>
  <si>
    <t>RAFAEL MATOS MONTEIRO DE SOUSA 21 99444-4399</t>
  </si>
  <si>
    <t>WALLACE BARROS DE GOIS 21 999982077</t>
  </si>
  <si>
    <t>MEDICAMENTOS (CARGA SECA)</t>
  </si>
  <si>
    <t xml:space="preserve">MEDICAMENTOS PERECIVEIS C/ GELO SECO </t>
  </si>
  <si>
    <t>PRESERVATIVOS</t>
  </si>
  <si>
    <t xml:space="preserve">DEMANDA JUDICIAL </t>
  </si>
  <si>
    <t>DIVERSOS</t>
  </si>
  <si>
    <t>CARGA MISTA (SECA/PERECIVEL)</t>
  </si>
  <si>
    <t>MEDICAMENTOS (CARGA SECA) / PRESERVATIVOS</t>
  </si>
  <si>
    <t>CLAUDIO SANTOS 11 95590-2237</t>
  </si>
  <si>
    <t>ALEXANDRE DA SILVA (11) 96848-0064</t>
  </si>
  <si>
    <t>ANTONIO LINDOMAR CHAVES 11 98668-9721 (11) 98864-8279</t>
  </si>
  <si>
    <t>ARIOLDENES GONÇALVES VASCONCELOS (61) 98446-3116</t>
  </si>
  <si>
    <t>AVAI SATELES OLIVEIRA 11 96245-2528 (11) 98864-6666</t>
  </si>
  <si>
    <t>CARLOS ALEXANDRE BEZERRA DA SILVA 11 977017701 (11) 98831-4813</t>
  </si>
  <si>
    <t>CLEALDO RODRIGUES MONCAO 11-96537-9479 (11) 98864-9793</t>
  </si>
  <si>
    <t>CLERISTON SOUSA (63) 984060927</t>
  </si>
  <si>
    <t>CRISTIANO FERREIRA CARDOSO (11) 95351-6736</t>
  </si>
  <si>
    <t>DERLIAN MOREIRA FREIRE 11 98748-7341 (11) 98864-6875</t>
  </si>
  <si>
    <t xml:space="preserve">GILLIARD PONTES (11) </t>
  </si>
  <si>
    <t>GILVAN SANTANA SANTOS 11 954781763 (11) 94584-0589</t>
  </si>
  <si>
    <t>GLEDSON GUEDES OLIVEIRA 11 932362172 (11) 99650-5735</t>
  </si>
  <si>
    <t>ISRAEL NUNES SARDINHA DE OLIVEIRA(11) 95354-6246</t>
  </si>
  <si>
    <t>JANDWY DE AREA LEAO SOUSA 11 6450-6197 (11)98864-5138</t>
  </si>
  <si>
    <t>JOSE CLEONILSON AZEVEDO DE PAIVA 11 966342469 (61) 985700035</t>
  </si>
  <si>
    <t>LUIZ CAMILO DO NASCIMENTO 11 94102-6154 (11) 98864-6035</t>
  </si>
  <si>
    <t>LUIZ HENRIQUE PIGNATARI DOS SANTOS 11 98334-1815 (11) 99355-5783</t>
  </si>
  <si>
    <t>MARCELO CONCEIÇÃO 11 5400-8932 (11) 99104-5558</t>
  </si>
  <si>
    <t>MARCELO SILVA DE OLIVEIRA 11 947800457 (11) 94503-0998</t>
  </si>
  <si>
    <t>NELSON GONÇALVES JUNIOR  (11) 932202396 (11) 949546269</t>
  </si>
  <si>
    <t>OSAIR BEZERRA DA SILVA (11) 930069670 11963849241</t>
  </si>
  <si>
    <t>OSVAR VARELLA FILHO (11) 8042-8159 (11) 98864-7062</t>
  </si>
  <si>
    <t>RICARDO DOS SANTOS SILVA (11)98914-7532 (11) 98598-1675</t>
  </si>
  <si>
    <t>RODRIGO PEREIRA SANTOS  11-93240-3185 (11) 98864-6221</t>
  </si>
  <si>
    <t>RODRIGO SENA DE BRITO 11 982488012 (11) 98864-4703</t>
  </si>
  <si>
    <t>ROGERIO VICENTE 11 974787479 (11) 98864-7919</t>
  </si>
  <si>
    <t>ROMERIO ALVES VENÂNCIO 11 93355-5830 (11) 97423-6164</t>
  </si>
  <si>
    <t>ROSENILDO CORSINO DA SILVA 61 993467583 (11) 96586-0494</t>
  </si>
  <si>
    <t>SIDINEY DE OLIVEIRA 11 968027202 (11) 96633-3929</t>
  </si>
  <si>
    <t>VALDEJANIO VELOSO DE SOUZA 11 97633-0599 (11) 98864-9521</t>
  </si>
  <si>
    <t xml:space="preserve">WELLINGTON FREIRE DE LIMA SANTOS 11 96477-0883 </t>
  </si>
  <si>
    <t>WESLEY DIAS DA SILVA COSTA 61 995171301 (11)94507-2331</t>
  </si>
  <si>
    <t>WESLEY NOVAES 11 98271-4896 (11)94501-3265</t>
  </si>
  <si>
    <t>TOTAL DE VOLUMES E PESO</t>
  </si>
  <si>
    <t>VACINA INFLUENZA (PER DE 2 A 8°C)</t>
  </si>
  <si>
    <t>ALBERTO D SOUZA BARBOZA 61-99199-6550</t>
  </si>
  <si>
    <t>EUSEBIO PEREIRA DUTRA FILHO 61-98422-3829</t>
  </si>
  <si>
    <t xml:space="preserve">REGINALDO MARCELO DA SILVA (11) 96433-6420 </t>
  </si>
  <si>
    <t>EDSON DUDA DA SILVA (11) 98761-8970</t>
  </si>
  <si>
    <t>ELIAS ALVES DE CRISTO (11) 948778162</t>
  </si>
  <si>
    <t>EDIVAN TEIXEIRA ALVES 61 981233759</t>
  </si>
  <si>
    <t xml:space="preserve">EDIVALDO ALVES GALDINO (11) 981224231 </t>
  </si>
  <si>
    <t>MOTORISTA/TELEFONE</t>
  </si>
  <si>
    <t>S/N</t>
  </si>
  <si>
    <t>MEDICAMENTOS / RESPIRADORES</t>
  </si>
  <si>
    <t>LEANDRO DA CONCEIÇÃO LIMA 11 - 963664335</t>
  </si>
  <si>
    <t>CIDADE</t>
  </si>
  <si>
    <t>NOME EMPRESA TERCEIRA</t>
  </si>
  <si>
    <t>EM CASO DE DUVIDAS ENTRAR EM CONTATO SETOR RESPONSAVEL</t>
  </si>
  <si>
    <t>OBSERVAÇÕES ADICIONAIS</t>
  </si>
  <si>
    <t>PREVISÃO DE ENTREGA</t>
  </si>
  <si>
    <t>PLACA DO VEICULO</t>
  </si>
  <si>
    <t>JOSE CLAYTON ARAUJO 85 996167729</t>
  </si>
  <si>
    <t>LEONARDO HENRIQUE RODRIGUES  (61) 98337-6608 (61) 99620-3177</t>
  </si>
  <si>
    <t>ITALO NEVES DE OLIVEIRA (61) 98463-0294 (61) 99524-5876</t>
  </si>
  <si>
    <t>JJK3641</t>
  </si>
  <si>
    <t>JEOVA EDUARDO PARIZI (11) 97014-1624</t>
  </si>
  <si>
    <t>MARCIANO DOS SANTOS CARVALHO (11) 98602-3566</t>
  </si>
  <si>
    <t>JEFFERSON PEREIRA DA SILVA 11 959313264</t>
  </si>
  <si>
    <t>JEFERSON PEREIRA DE ARAUJO 11 944912566</t>
  </si>
  <si>
    <t>PLACA</t>
  </si>
  <si>
    <t>TIPO DE VEICULO</t>
  </si>
  <si>
    <t>MOTORISTA</t>
  </si>
  <si>
    <t>TRUCK FRIGORIFICO FORD BAU IBIPORA</t>
  </si>
  <si>
    <t xml:space="preserve">ADRIANO FRANCO </t>
  </si>
  <si>
    <t>TRUCK FRIGORIFICO MERCEDES BAU FACCHINI</t>
  </si>
  <si>
    <t>ALBERTO DE SOUZA</t>
  </si>
  <si>
    <t>TRUCK FRIGORIFICO VOLVO BAU IBIPORA</t>
  </si>
  <si>
    <t>TRUCK CARGA SECA VOLVO BAU CARBUS</t>
  </si>
  <si>
    <t>ANTONIO LINDOMAR CHAVES</t>
  </si>
  <si>
    <t>TRUCK FRIGORIFICO FORD BAU FIBRASIL</t>
  </si>
  <si>
    <t>AVAI SATELES DE OLIVEIRA</t>
  </si>
  <si>
    <t>CARLOS ALEXANDRE BEZERRA DA SILVA</t>
  </si>
  <si>
    <t>CLEALDO RODRIGUES MONCAO</t>
  </si>
  <si>
    <t>CLEILTON OGOMES DA SILVA</t>
  </si>
  <si>
    <t>VUC FRIGORIFICO VW BAU FIBRASIL</t>
  </si>
  <si>
    <t>CRISTIANO FERREIRA CARDOSO</t>
  </si>
  <si>
    <t>DUGEVALDO MARQUES COSTA</t>
  </si>
  <si>
    <t>TRUCK FRIGORIFICO VOLVO BAU FIBRASIL</t>
  </si>
  <si>
    <t>EDIVAN TEIXEIRA ALVES</t>
  </si>
  <si>
    <t>VAN FRIGORIFICO MERCEDES</t>
  </si>
  <si>
    <t>EDSON DUDA DA SILVA</t>
  </si>
  <si>
    <t>TRUCK CARGA SECA FORD BAU FACCHINI</t>
  </si>
  <si>
    <t>EUSEBIO PEREIRA DUTRA FILHO</t>
  </si>
  <si>
    <t>GILSON PEREIRA DA SILVA JUNIOR</t>
  </si>
  <si>
    <t>GILVAN SANTANA SANTOS</t>
  </si>
  <si>
    <t>GLEDSON GUEDES OLIVEIRA</t>
  </si>
  <si>
    <t>INACIO GUEDES DE PAIVA NETO</t>
  </si>
  <si>
    <t>ISRAEL NUNES SARDINHA DE OLIVEIRA</t>
  </si>
  <si>
    <t>JANDWY DE AREA LEAO SOUSA</t>
  </si>
  <si>
    <t>JEFERSON PEREIRA DE ARAUJO</t>
  </si>
  <si>
    <t>JOAO PAULO LINO</t>
  </si>
  <si>
    <t>JONATHAN APARECIDO SILVA OLIVEIRA</t>
  </si>
  <si>
    <t>JOSIEL DOS SANTOS SAMPAIO</t>
  </si>
  <si>
    <t>LEONARDO HENRIQUE RODRIGUES</t>
  </si>
  <si>
    <t>LUCIANO MENDONCA COELHO</t>
  </si>
  <si>
    <t>TRUCK CARGA SECA VW BAU CARBUS</t>
  </si>
  <si>
    <t>LUIZ CAMILO DO NASCIMENTO</t>
  </si>
  <si>
    <t>LUIZ CARLOS DE SOUZA OLIVEIRA</t>
  </si>
  <si>
    <t>LUIZ HENRIQUE PIGNATARI</t>
  </si>
  <si>
    <t>MARCELO CONCEIÇÃO</t>
  </si>
  <si>
    <t>MARCELO SILVA DE OLIVEIRA</t>
  </si>
  <si>
    <t>MARCOS DA SILVA MONTEIRO</t>
  </si>
  <si>
    <t>VAN CARGA SECA MERCEDES</t>
  </si>
  <si>
    <t>NELSON GONÇALVES JUNIOR</t>
  </si>
  <si>
    <t>OSVAR VARELLA RILHO</t>
  </si>
  <si>
    <t>RAFAEL MATOS MONTEIRO DE SOUSA</t>
  </si>
  <si>
    <t>RICARDO DOS SANTOS SILVA</t>
  </si>
  <si>
    <t>RODRIGO PEREIRA SANTOS</t>
  </si>
  <si>
    <t>RODRIGO SENA DE BRITO</t>
  </si>
  <si>
    <t>ROGERIO GONÇALVES VICENTE</t>
  </si>
  <si>
    <t>ROMERIO ALVES VENANCIO</t>
  </si>
  <si>
    <t>ROSENILDO CORSINO DA SILVA</t>
  </si>
  <si>
    <t>SIDINEY DE OLIVEIRA</t>
  </si>
  <si>
    <t>TRUCK ISOTERMICO VW CARBUS</t>
  </si>
  <si>
    <t>WESLEY DIAS DA SILVA COSTA</t>
  </si>
  <si>
    <t>WESLEY NOVAES</t>
  </si>
  <si>
    <t>TRUCK CARGA SECA MERCEDES BAU FACCHINI</t>
  </si>
  <si>
    <t>TRUCK FRIGORIFICO MERCEDES BAU FIBRASIL</t>
  </si>
  <si>
    <t>VAN CARGA SECA RENAULT</t>
  </si>
  <si>
    <t>VAN FRIGORIFICO RENAULT</t>
  </si>
  <si>
    <t>3/4 CARGA SECA FORD BAU ALVORADA</t>
  </si>
  <si>
    <t>3/4 CARGA SECA FORD BAU FIBRASIL</t>
  </si>
  <si>
    <t>3/4 CARGA SECA MERCEDES BAU FACCHINI</t>
  </si>
  <si>
    <t>3/4 CARGA SECA MERCEDES BAU RANDON</t>
  </si>
  <si>
    <t>3/4 FRIGORIFICO FORD BAU FIBRASIL</t>
  </si>
  <si>
    <t>3/4 FRIGORIFICO MERCEDES BAU FACCHINI</t>
  </si>
  <si>
    <t>3/4 FRIGORIFICO MERCEDES BAU RANDON</t>
  </si>
  <si>
    <t>3/4 ISOTERMICO FORD BAU FIBRASIL</t>
  </si>
  <si>
    <t>AUTOMOVEL</t>
  </si>
  <si>
    <t>CARRETA</t>
  </si>
  <si>
    <t>TRUCK ABERTO MERCEDES BAU RBM</t>
  </si>
  <si>
    <t>EDM0664 / BYJ4049</t>
  </si>
  <si>
    <t>JOELSON GOMES RAMALHO (11) 948364504</t>
  </si>
  <si>
    <t>MOACIR VAZ NASCIMENTO (11) 99210-5463</t>
  </si>
  <si>
    <t>FERNANDO HENRIQUE GONÇALVES AGUIAR (11) 94014-0255</t>
  </si>
  <si>
    <t>JOSE MARCIO DE OLIVEIRA (11) 96160-2125</t>
  </si>
  <si>
    <t>GUILHERME DE PAULA CARVALHO (11) 94192-6125</t>
  </si>
  <si>
    <t>JOSE ERNANI BEZERRA JUNIOR (11) 958104425</t>
  </si>
  <si>
    <t>JOSE CARLOS BATISTA DOS SANTOS (11) 977462369</t>
  </si>
  <si>
    <t>VOETUR CARGAS E ENCOMENDAS LTDA</t>
  </si>
  <si>
    <t>RAZÃO SOCIAL: VTCLOG OPERADORA LOGISTICA</t>
  </si>
  <si>
    <t>CNPJ: 24.893.687/0011-71</t>
  </si>
  <si>
    <t>I.E:</t>
  </si>
  <si>
    <t>RUA: JAMIL JOAO ZARIF, 684 - JARDIN SANTA VICENCIA CEP 07143-000</t>
  </si>
  <si>
    <t>FONE: 61 2105-1744</t>
  </si>
  <si>
    <t>gestaodefrota@vtclog.com.br</t>
  </si>
  <si>
    <t>cleriston.sousa@vtclog.com.br</t>
  </si>
  <si>
    <t>RENAN CARDOSO / HEBERSON SILVA / CLERISTON DE SOUSA</t>
  </si>
  <si>
    <t xml:space="preserve">CADASTRO PROVEDORES EXTERNOS - PROJETO GUARULHOS (2018) </t>
  </si>
  <si>
    <t>PROVEDOR / FORNECEDOR</t>
  </si>
  <si>
    <t>TELEFONE</t>
  </si>
  <si>
    <t>CONTATO</t>
  </si>
  <si>
    <t>DESCRIÇÃO</t>
  </si>
  <si>
    <t>SITES</t>
  </si>
  <si>
    <t xml:space="preserve">EMAIL </t>
  </si>
  <si>
    <t>SITUAÇÃO</t>
  </si>
  <si>
    <t>ABC AUTO VIDROS - R. Ana Maria Martinês, 661 - Assunção, São Bernardo do Campo - SP, 09811-000</t>
  </si>
  <si>
    <t>(11) 4356 - 6814</t>
  </si>
  <si>
    <t xml:space="preserve">ELIZETE </t>
  </si>
  <si>
    <t xml:space="preserve">VIDROS E ACESSORIOS AUTOMOTIVO </t>
  </si>
  <si>
    <t>abcautovidros@ig.com.br</t>
  </si>
  <si>
    <t xml:space="preserve">CADASTRO ATIVO </t>
  </si>
  <si>
    <t>ANCHIETA PECAS DISTR DE PCS P CAM E ONIBUS EIRELI : Av. dos Estados, 2192 - Parque Central, Santo André - SP, 09210-580</t>
  </si>
  <si>
    <t> (11) 2066-9709</t>
  </si>
  <si>
    <t>WALTER</t>
  </si>
  <si>
    <t>PEÇAS P/ CAMINHAO E ONIBUS / ARLA - LUBIRFICANTES</t>
  </si>
  <si>
    <t>https://www.anchietapecas.com.br/</t>
  </si>
  <si>
    <t>'Walter' &lt;walter.silva@anchietapecas.com.br&gt;</t>
  </si>
  <si>
    <t>AUTO SUECO: Av. Júlia Gaioli, 376 - Água Chata, Guarulhos - SP, 07251-500</t>
  </si>
  <si>
    <t xml:space="preserve">(11) 3500-1307 / 1300 </t>
  </si>
  <si>
    <t xml:space="preserve">LEONARDO / HOPERADO </t>
  </si>
  <si>
    <t>Concessionaria volvo</t>
  </si>
  <si>
    <t xml:space="preserve">lecruz@autosueco.com.br  / HPAULA@AUTOSUECO.COM.BR </t>
  </si>
  <si>
    <t>cneves@autosueceo.com.br</t>
  </si>
  <si>
    <t>AUTO VIDROS GIL: Av. Tiradentes, 1916 - Centro, Guarulhos - SP, 07114-001</t>
  </si>
  <si>
    <t>(11) 2440-1474</t>
  </si>
  <si>
    <t>JESSICA</t>
  </si>
  <si>
    <t>CADASTRO ATIVO</t>
  </si>
  <si>
    <t>Auto Vidros Guarulhos: Endereço: Av. Antônio de Souza, 1045 - Jd. Sta. Francisca, Guarulhos - SP, 07013-090</t>
  </si>
  <si>
    <t>(11) 2475-1195</t>
  </si>
  <si>
    <t>MARCIO</t>
  </si>
  <si>
    <t>VIDRO AUTOMITIVO TAPEÇARIA COMPLETA</t>
  </si>
  <si>
    <t>bruno.261@hotmail.com</t>
  </si>
  <si>
    <t xml:space="preserve">ENVIAR EMAIL </t>
  </si>
  <si>
    <t>AUTOMAX BOSCH CAR SERVICE: AV: MONTEIRO LOBATO, 2949 - CECAP - GUARULHOS/SP</t>
  </si>
  <si>
    <t> (11) 2229-9637</t>
  </si>
  <si>
    <t>ALECSSANDRA / FELIPE</t>
  </si>
  <si>
    <t>AUTO CENTER - LEVE- MANUTENÇÃO E REPARAÇÃO DE VEICULOS</t>
  </si>
  <si>
    <t>SOCORRO</t>
  </si>
  <si>
    <t>adm@automaxcentroautomotivo.com.br</t>
  </si>
  <si>
    <t>AUTOPEC - R. Srg. João Batista Sarubi, 77 - Jardim Eulina, Campinas - SP, 13063-340</t>
  </si>
  <si>
    <t>(19) 3241-5341</t>
  </si>
  <si>
    <t xml:space="preserve">BRILHAUTO PNEUS TRUCK CENTER - AV. Santos Dumont, 1750 - Cumbica - Guarulhos - SP Cep: 07180-270 </t>
  </si>
  <si>
    <t xml:space="preserve">(11) 2412-5533 / (11) 2412 0232 </t>
  </si>
  <si>
    <t xml:space="preserve">MICHAEL </t>
  </si>
  <si>
    <t>PNEUS / RECAUCHUTAGEM - SERVIÇOS DE SUSPENÇÃO, FREIOS, MOLAS, EMBUCHAMENTO, ALINHAMENTO, BALANCEAMENTO</t>
  </si>
  <si>
    <t xml:space="preserve">www.brilhautopneus.com.br </t>
  </si>
  <si>
    <t xml:space="preserve">brilhanteauto@uol.com.br </t>
  </si>
  <si>
    <t>BRUTUS AUTO LAVAGEM: Av. Justino de Maio, 1365 - Cumbica, Guarulhos - SP, 07222-000</t>
  </si>
  <si>
    <t>(11) 2488-0248</t>
  </si>
  <si>
    <t>ROBERTO</t>
  </si>
  <si>
    <t xml:space="preserve">LAVA RAPIDO </t>
  </si>
  <si>
    <t>brutus.autolavagen@gmail.com</t>
  </si>
  <si>
    <t>CARBUS EQUIPAMENTOS RODOVIARIOS: Endereço: R. Panambi, 771 - Cidade Industrial Satélite de São Paulo, Guarulhos - SP, 07224-130</t>
  </si>
  <si>
    <t>(11) 2085-4944</t>
  </si>
  <si>
    <t>CARBUS EQUIPAMENTOS RODOVIARIOS: R. Panambi, 771 - Cidade Industrial Satélite de São Paulo, Guarulhos - SP, 07224-130</t>
  </si>
  <si>
    <t>BAUS E CARROCERIAS</t>
  </si>
  <si>
    <t>CARGLASS: Av. Salgado Filho, 1474 - Jardim Santa Mena, Guarulhos - SP, 07115-000</t>
  </si>
  <si>
    <t>(11) 4152-8122</t>
  </si>
  <si>
    <t xml:space="preserve">VIDRO AUTOMOTIVOS - </t>
  </si>
  <si>
    <t>Cumbica Baterias: R. Brg. Mário Perdigão, 148 - Jardim Cumbica, Guarulhos - SP, 07180-260</t>
  </si>
  <si>
    <t>(11) 2488-0173</t>
  </si>
  <si>
    <t>FAZER CONTAO</t>
  </si>
  <si>
    <t>CUMBICA TACOGRAFOS - Rua Sumé, 193 - Cumbica - Guarulhos/SP</t>
  </si>
  <si>
    <t>(11) 2303-1676 / (11) 94778-2277</t>
  </si>
  <si>
    <t>MARCOS / DANIEL</t>
  </si>
  <si>
    <t>comercial@cumbicatacografos.com.br</t>
  </si>
  <si>
    <t xml:space="preserve">DELLA VIA PNEUS: AV. SANTOS DUMONT, 2076 CEP 07220-000 GRU </t>
  </si>
  <si>
    <t>(11) 99207-3603 / 95121-0913</t>
  </si>
  <si>
    <t xml:space="preserve">VERONICA </t>
  </si>
  <si>
    <t>VANS - MECANICA EM GERAL</t>
  </si>
  <si>
    <t xml:space="preserve">www.dellavia.com.br </t>
  </si>
  <si>
    <t>l80.truck.vendas@dellavia.com.br</t>
  </si>
  <si>
    <t>EM ANALISE</t>
  </si>
  <si>
    <t>DIVENA - Diadema Mercedes-Benz - Av. Fábio Eduardo Ramos Esquivel, 2279 - Centro, Diadema - SP, 09941-201</t>
  </si>
  <si>
    <t>(11) 4070-9933 / (11) 4070-9950</t>
  </si>
  <si>
    <t>MICHAEL</t>
  </si>
  <si>
    <t>CONCESSIONARIA MERCEDES BENZ</t>
  </si>
  <si>
    <t>DIVEPE CAMINHOES FORD - Av. Ten. José Jerônimo de Mesquita, 155 - Parque Novo Mundo, São Paulo - SP, 02146-000</t>
  </si>
  <si>
    <t xml:space="preserve">(11) 3594 9600 </t>
  </si>
  <si>
    <t xml:space="preserve">CARLOS CESAR </t>
  </si>
  <si>
    <t xml:space="preserve">CONCESSIONARIA FORD </t>
  </si>
  <si>
    <t>http://divepe.com.br/</t>
  </si>
  <si>
    <t>carloscesar@divepesp.com.br</t>
  </si>
  <si>
    <t>DIVEPE CAMINHOES FORD - R. Pedro Zolcsak, 50 - Ferrazópolis, São Bernardo do Campo - SP, 09790-410</t>
  </si>
  <si>
    <t>(11) 3504-8600</t>
  </si>
  <si>
    <t>EMERSON</t>
  </si>
  <si>
    <t>D'PASCOAL: Av. Mario Haberfeld, 290 - Parque Novo Mundo, São Paulo - SP, 02145-000</t>
  </si>
  <si>
    <t>(11) 2955-1899</t>
  </si>
  <si>
    <t>edja.franca@dpaschoal.com.br</t>
  </si>
  <si>
    <t xml:space="preserve">DS CHAVEIROS: Rua floro de oliveira, 163 - Jardim Adriana - Guarulhos - SP </t>
  </si>
  <si>
    <t>(11) 29737-5039 / 95373-0566 / 98071-8259</t>
  </si>
  <si>
    <t xml:space="preserve">DONNY MANZANO </t>
  </si>
  <si>
    <t>CHAVEIRO 24 HORAS</t>
  </si>
  <si>
    <t>DUTRACAR PEÇA E ACESSORIOS - Av. Santos Dumont, 1605 - Cidade Industrial Satélite de São Paulo, Guarulhos - SP, 07220-000</t>
  </si>
  <si>
    <t>(11) 2412-1919</t>
  </si>
  <si>
    <t>PEDRO / JUCA</t>
  </si>
  <si>
    <t xml:space="preserve">ACESSORIOS, </t>
  </si>
  <si>
    <t>contato.dutracar@gmail.com</t>
  </si>
  <si>
    <t xml:space="preserve">ATIVO </t>
  </si>
  <si>
    <t>DUTRACAR PEÇAS E ACESSORIOS - NOVA BOM SUCESSO</t>
  </si>
  <si>
    <t>Edinho auto elétrico: Av. Otávio Braga de Mesquita, 644 - Vila Fatima, Guarulhos - SP, 07191-000</t>
  </si>
  <si>
    <t>(11) 2408-3168</t>
  </si>
  <si>
    <t>FC Filtros e Lubrificantes Automotivos: Av. Primavera, 4 - Jardim Primavera, Duque de Caxias - RJ, 25214-065</t>
  </si>
  <si>
    <t>(21) 2776-1133</t>
  </si>
  <si>
    <t xml:space="preserve">DUQUE DE CAXIAS - RJ </t>
  </si>
  <si>
    <t>https://fcfiltros.business.site/</t>
  </si>
  <si>
    <t>FIBRASIL CARROCERIAS: R. Concretex, 526 - Cumbica, Guarulhos - SP, 07232-050</t>
  </si>
  <si>
    <t>(11) 3488-9900</t>
  </si>
  <si>
    <t>MARISA</t>
  </si>
  <si>
    <t>BAUS CARROCERIAS</t>
  </si>
  <si>
    <t>Fort Vans Comércio de Peças para Vans: Av. Santos Dumont, 2951 - Cumbica, Guarulhos - SP, 07220-010</t>
  </si>
  <si>
    <t>(11) 2229-6983</t>
  </si>
  <si>
    <t>LANDO</t>
  </si>
  <si>
    <t>GECI - CAR. SANTOS DUMONT TACOGRAFOS - GECI-CAR - Av: Santos Dumont, 1181 - cumbica cep: 07180-270 - Guarulhos - SP</t>
  </si>
  <si>
    <t>(11) 2404-5109 / (11) 2403-2523</t>
  </si>
  <si>
    <t xml:space="preserve">CELIO </t>
  </si>
  <si>
    <t>TACOGRAFOS (MANUTENÇÃO )</t>
  </si>
  <si>
    <t xml:space="preserve">www.gecicar.com.br </t>
  </si>
  <si>
    <t xml:space="preserve">gecicar@ig.com.br </t>
  </si>
  <si>
    <t>EMAIL ENVIADO 11/01/2019</t>
  </si>
  <si>
    <t>Grupo A.R.C. - Comércio de Auto Peças: R. Arapuã, 52 - Jardim Munhoz, Guarulhos - SP, 07033-181 - GRU - SP</t>
  </si>
  <si>
    <t>(11) 2086-9000</t>
  </si>
  <si>
    <t>HVG AUTO ELETRICO E INJEÇÃO ELETRONICO. Nova Cumbica, 1210 / 1218 - Jardim Nova Cumbica, Guarulhos - SP, 07231-000</t>
  </si>
  <si>
    <t xml:space="preserve">(11) 2412-7163 - 2481-8716 </t>
  </si>
  <si>
    <t xml:space="preserve">NILDO / MICHEL </t>
  </si>
  <si>
    <t>Injeção Eletrônica para veículos pesados e leves</t>
  </si>
  <si>
    <t xml:space="preserve">hvg.autoeletrico@gmail.com   </t>
  </si>
  <si>
    <t>nildohvg@terra.com.br</t>
  </si>
  <si>
    <t>J. Vaz Acumuladores: R. Serra de Botucatu, 1773 - Tatuapé, São Paulo - SP, 03317-001</t>
  </si>
  <si>
    <t>(11) 2178-3800</t>
  </si>
  <si>
    <t>JAN CAP E INTERMUNDI - PEÇAS PARA VANS: R. Balsa, 537 - Vila Arcadia, São Paulo - SP, 02910-000</t>
  </si>
  <si>
    <t>(11) 2818-6000</t>
  </si>
  <si>
    <t>JULIO BATERIAS Rua Alexânia, 78 - Cidade Industrial Satélite de São Paulo, Guarulhos - SP, 07232-010</t>
  </si>
  <si>
    <t>(11) 2482-2127 / 2446 4166</t>
  </si>
  <si>
    <t>SANDRA</t>
  </si>
  <si>
    <t xml:space="preserve">Baterias Automotivas (MOURA - EXCEL - ZETA - FULGUROES - CRAAL) </t>
  </si>
  <si>
    <t>juliobaterias@hotmail.com</t>
  </si>
  <si>
    <t>EMAIL ENVIADO -AGUARDANDO RETORNO</t>
  </si>
  <si>
    <t>Lava Bem Caminhões -  Rua Arari Leite, 261 - Vila Maria, São Paulo - SP, 02123-050</t>
  </si>
  <si>
    <t>(11) 2955-6500</t>
  </si>
  <si>
    <t xml:space="preserve">LAVA-JATO </t>
  </si>
  <si>
    <t>LAVA-RAPIDO INTER MILENIO - AV: PATOS, 386 - CEP 07222-010 - GRU - SP</t>
  </si>
  <si>
    <t xml:space="preserve">(11) 2412 4990 </t>
  </si>
  <si>
    <t>MEIRE</t>
  </si>
  <si>
    <t>lavarapidointermilenio@gmail.com</t>
  </si>
  <si>
    <t xml:space="preserve">LC GUINCHO E LAVAGENS - AV. SANTOS DUMONT, 2192 - CUMBICA GUARULHOS </t>
  </si>
  <si>
    <t>(011) 2482-1404 / 2488-0135  - 94941 2165</t>
  </si>
  <si>
    <t>FABIANA</t>
  </si>
  <si>
    <t xml:space="preserve">serviços de guincho. Lavagem de  Veiculos Pesados. </t>
  </si>
  <si>
    <t>lc.lavarapidoeguinchos@gmail.com</t>
  </si>
  <si>
    <t>LEOBER P. PORTO JUNIOR MANUTENÇÃO VEICULAR ME - Av. Otavio Braga de Mesquita, 2771 - Guarulhos/sp - CEP: 07140-230</t>
  </si>
  <si>
    <t>(11) 2407-6433</t>
  </si>
  <si>
    <t>LEOBER / MARLICE</t>
  </si>
  <si>
    <t>MANUTENÇÃO AR CONDICIONADO</t>
  </si>
  <si>
    <t>leoberpj@yahoo.com.br</t>
  </si>
  <si>
    <t>LEOPOLDIESEL - Av. Manuel Antonio Gonçalves, 623 - Jardim Guanca - S.Paulo/SP - CEP: 02152-000</t>
  </si>
  <si>
    <t>(11) 2422-0919 / (11) 94721-0367</t>
  </si>
  <si>
    <t>ADRIANA / JEFFERSON</t>
  </si>
  <si>
    <t>MANUTENÇÃO DIESEL E LAVA JATO GERAL DE VEÍCULOS</t>
  </si>
  <si>
    <t>leopoldiesel.adm@gmail.com</t>
  </si>
  <si>
    <t>Loja Baterias - Atacado e Varejo de Baterias Automotivas:Centros, Guarulhos - SP, 07060-156</t>
  </si>
  <si>
    <t> (11) 2488-0173</t>
  </si>
  <si>
    <t>Luk Diesel Peças para Vans:  Av. Santos Dumont, 2571 - Cumbica, Guarulhos - SP, 07220-000</t>
  </si>
  <si>
    <t> (11) 2085-5599</t>
  </si>
  <si>
    <t>PATRICK</t>
  </si>
  <si>
    <t>PRIMEIRA COMPRA AVISTA</t>
  </si>
  <si>
    <t>Marcelo Ribeiro Alves ME (MV Auto Center) - Av. Manoel Isidoro Martins, 86 - Bela Vista - Guarulhos/SP - CEP: 07132-280</t>
  </si>
  <si>
    <t>(11) 2382-7918 / (11) 94733-4285</t>
  </si>
  <si>
    <t>MARCELO</t>
  </si>
  <si>
    <t>MECANICA GERAL</t>
  </si>
  <si>
    <t>mvautocenter.centroautomotivo@gmail.com</t>
  </si>
  <si>
    <t>MARILLAK -  239, R. Jati - Cidade Jardim Cumbica, Guarulhos - SP, 07180-140</t>
  </si>
  <si>
    <t xml:space="preserve"> (11) 2412-7460 - </t>
  </si>
  <si>
    <t>DAGOBERTO (11) 97479-5757</t>
  </si>
  <si>
    <t>INDICADO PELO DEIVISSON</t>
  </si>
  <si>
    <t>MF FUNILARIA: Av. Silvestre Pires de Freitas, 465 - Taboão, Guarulhos - SP, 07144-000</t>
  </si>
  <si>
    <t>(11) 2492-7418</t>
  </si>
  <si>
    <t>MARCOS</t>
  </si>
  <si>
    <t>FUNILARIA - PINTURA  - MECANICA</t>
  </si>
  <si>
    <t>MICHELINO ACESSORIOS - Av. Santos Dumont, 2337 - Cidade Industrial Satélite de São Paulo, Guarulhos - SP, 07222-150</t>
  </si>
  <si>
    <t>(11) 2412-5245</t>
  </si>
  <si>
    <t>SÉRGIO</t>
  </si>
  <si>
    <t> Autopeças para Caminhões (Equipamentos, Peças e Acessorios</t>
  </si>
  <si>
    <t>compras@michelino.com.br</t>
  </si>
  <si>
    <t>NÃO ACEITOU</t>
  </si>
  <si>
    <r>
      <t xml:space="preserve">MOTORVOL PEÇAS VOLVO - </t>
    </r>
    <r>
      <rPr>
        <b/>
        <sz val="11"/>
        <rFont val="Calibri"/>
        <family val="2"/>
        <scheme val="minor"/>
      </rPr>
      <t xml:space="preserve"> R. Aroeiras, 491 - Cidade Industrial Satélite de São Paulo, Guarulhos - SP, 07222-150</t>
    </r>
  </si>
  <si>
    <t>(11)2446 - 1536</t>
  </si>
  <si>
    <t>WELINTON</t>
  </si>
  <si>
    <t xml:space="preserve">MSAM DISGTRIBUIDORA DE PEÇAS: AV SANTOS DUMONT, 2137 CEP: 0722-000 GRU </t>
  </si>
  <si>
    <t>(11) 2085-4990</t>
  </si>
  <si>
    <t xml:space="preserve">PATRICIO </t>
  </si>
  <si>
    <t xml:space="preserve">DISTRIBUIDORA DE PEÇAS </t>
  </si>
  <si>
    <t xml:space="preserve">www.msam.com.br </t>
  </si>
  <si>
    <t>patricio.silva@msam.com.br</t>
  </si>
  <si>
    <t>N-EIXOS: Av. Jamil João Zarif, 416 - Taboão - Guarulhos/SP</t>
  </si>
  <si>
    <t>(11) 2401-3922 / (11) 99781-8622 / (11) 94786-7650 / (11) 98208-4228</t>
  </si>
  <si>
    <t>KELLY / CAROL / MARCOS</t>
  </si>
  <si>
    <t>MOTOR - CAMBIO - DIFERENCIAL - FREIOS - EMBREAGEM - SUSPENSÃO</t>
  </si>
  <si>
    <t>mecanican_eixos@hotmail.com</t>
  </si>
  <si>
    <t>NEVICAR BOSCH TRUCK - Av. Monteiro , 223 - Guarulhos/SP - CEP: 07224-000</t>
  </si>
  <si>
    <t>(11) 2412-7409</t>
  </si>
  <si>
    <t>WALKIRIA TORON</t>
  </si>
  <si>
    <t xml:space="preserve">BOMBA INJETORA - </t>
  </si>
  <si>
    <t>nevicar@nevicarbosch.com.br</t>
  </si>
  <si>
    <t xml:space="preserve">NSA(RECAPAGEM DE PNEUS ANDRADE) - RUA AROEIRA, 21 CUMBICA- GUARULHOS/SP </t>
  </si>
  <si>
    <t>(11) 2462-7173 - 11- 940116129</t>
  </si>
  <si>
    <t>ELIANE / LUCAS / JAQUELINE</t>
  </si>
  <si>
    <t>PNEUS / ALINHAMENTO... EMBUCHAMENTO... FREIOS... SUSPENSÃO...</t>
  </si>
  <si>
    <t>https://www.nsapneutec.com.br/</t>
  </si>
  <si>
    <t>lima.vendas@nsapneutec.com.br</t>
  </si>
  <si>
    <t>OFICINA VIP DIESEL:  R. Vicente Melro, 745 - Jardim Vila Galvao, Guarulhos - SP, 07056-110</t>
  </si>
  <si>
    <t>(11) 2304-0534</t>
  </si>
  <si>
    <t>(11) 947444437</t>
  </si>
  <si>
    <t>Pe di Neve Ar Condicionado e Radiadores Automotivo: Av. Cap. Casa, 800 - Dos Casa, São Bernardo do Campo - SP, 09812-000</t>
  </si>
  <si>
    <t>(11) 4509-9940</t>
  </si>
  <si>
    <t>AR CONDICIONADO AUTOMOTIVO E RADIADOR</t>
  </si>
  <si>
    <t>Pe di neve Ar Condicionado &lt;pedineve@gmail.com&gt;</t>
  </si>
  <si>
    <t>PESADOES - COMERCIO DE PEÇAS E ACESSORISO VOLVO LTDA-ME.  Av. Santos Dumont, 1667 - Cidade Industrial. Satélite, Guarulhos - SP, 07220-000</t>
  </si>
  <si>
    <t>011 - 2412-9370 - 99830-8687</t>
  </si>
  <si>
    <t xml:space="preserve">RONY / RODRIGO </t>
  </si>
  <si>
    <t>Comercio de peças - Volvo - Ford - Volks - MB</t>
  </si>
  <si>
    <t>pesadoesacessorios@ig.com.br</t>
  </si>
  <si>
    <t xml:space="preserve">PNEUSTEP - Av. Cap. Casa, 1120 - Dos Casa, São Bernardo do Campo - SP, 09812-000 </t>
  </si>
  <si>
    <t>(11) 4344 - 2070</t>
  </si>
  <si>
    <t xml:space="preserve">POSTO CRUZEIRO DO SUL: AV: SANTOS DUMONT, 2302 CEP: 07220-000 - GUARULHOS </t>
  </si>
  <si>
    <t xml:space="preserve">MARCELO </t>
  </si>
  <si>
    <t xml:space="preserve">POSTO DE COMBUSTIVEL </t>
  </si>
  <si>
    <t xml:space="preserve">POSTO DE MOLAS GUANAMBI </t>
  </si>
  <si>
    <t>(11) 3428-1207</t>
  </si>
  <si>
    <t>SÃO PAULO</t>
  </si>
  <si>
    <t>QUATRO RODAS: Av. Monteiro Lobato, 2037 - Vila Fatima, Guarulhos - SP, 07191-030</t>
  </si>
  <si>
    <t>(11) 4378-3633</t>
  </si>
  <si>
    <t>FUNILARIA - PINTURA LANTERNAGEM</t>
  </si>
  <si>
    <t>REI DO OLEO -  Av. Santos Dumont, 1565 - Cidade Industrial Satélite de São Paulo, Guarulhos - SP, 07220-000</t>
  </si>
  <si>
    <t>(11) 2481-5670</t>
  </si>
  <si>
    <t>AUREO</t>
  </si>
  <si>
    <t xml:space="preserve">REVISAO - TROCA DE OLEO </t>
  </si>
  <si>
    <t>aureo.reidooleo@uol.com.br</t>
  </si>
  <si>
    <t>REI DOS PNEUS: Av. Santos Dumont, 1514 - Cidade Industrial Satélite de São Paulo, Guarulhos - SP, 07220-000</t>
  </si>
  <si>
    <r>
      <rPr>
        <b/>
        <sz val="11"/>
        <rFont val="Arial"/>
        <family val="2"/>
      </rPr>
      <t>Renovadora de Pneus Cruz Malta  (11) 2412-0261</t>
    </r>
    <r>
      <rPr>
        <b/>
        <sz val="12"/>
        <rFont val="Arial"/>
        <family val="2"/>
      </rPr>
      <t xml:space="preserve">
</t>
    </r>
    <r>
      <rPr>
        <b/>
        <sz val="11"/>
        <rFont val="Arial"/>
        <family val="2"/>
      </rPr>
      <t xml:space="preserve"> Comércio de Pneu Av. Santos Dumont, 1887</t>
    </r>
    <r>
      <rPr>
        <b/>
        <sz val="12"/>
        <rFont val="Arial"/>
        <family val="2"/>
      </rPr>
      <t xml:space="preserve"> - Cumbica - Guarulhos/SP</t>
    </r>
  </si>
  <si>
    <t>(11) 2412 1235</t>
  </si>
  <si>
    <t>ANADIA</t>
  </si>
  <si>
    <t xml:space="preserve">RENOVADORA DE PNEUS </t>
  </si>
  <si>
    <t>vendas.anadia@cruzdemaltapneus.com.br</t>
  </si>
  <si>
    <t>REVEST FIBRA: Av. Papa João Paulo I, 1623 - Cumbica, Guarulhos - SP, 07190-100</t>
  </si>
  <si>
    <t>(11) 2431-0209 / (11) 3444-9310</t>
  </si>
  <si>
    <t xml:space="preserve">SILVANA / ROSE </t>
  </si>
  <si>
    <t>BAUS IBIPORA</t>
  </si>
  <si>
    <t>vendas@revestfibra.com.br</t>
  </si>
  <si>
    <t>Rodobens Veículos Mercedes - R. Pref. Gabriel José Antônio, 250 - Vila das Palmeiras, Guarulhos - SP, 07024-120</t>
  </si>
  <si>
    <t>(11) 2187-4500</t>
  </si>
  <si>
    <t>Eduardo - cadastro</t>
  </si>
  <si>
    <t>Concessionaria Mercedes</t>
  </si>
  <si>
    <t>erandrade@rodobens.com.br</t>
  </si>
  <si>
    <t>CADASTRO APROVADO - (COMPRAS AVISTA)</t>
  </si>
  <si>
    <t>SERVITESTE Bosch Truck Service - : Av. Águia de Haia, 4286 - Jardim Soraia, São Paulo - SP, 03889-000</t>
  </si>
  <si>
    <t>(11) 2041-0566</t>
  </si>
  <si>
    <t xml:space="preserve">Luciano </t>
  </si>
  <si>
    <t>atendimento@serviteste.com.br</t>
  </si>
  <si>
    <t>SKL BATERIAS DE CARRO GUARULHOS - BATERIA AUTOMOTIVA: R. Duas Estradas, 88 - Jardim Sao Joao, Guarulhos - SP, 07151-060</t>
  </si>
  <si>
    <t>(11) 2467-7103</t>
  </si>
  <si>
    <t xml:space="preserve">STOP LINE FREIO </t>
  </si>
  <si>
    <t>(11) 4372-7518</t>
  </si>
  <si>
    <t xml:space="preserve">SUPER SINGLES PNEUS: AV: SANTOS DUMONT, 1770 - CEP: 07220-000 </t>
  </si>
  <si>
    <t>(11) 96642 8860</t>
  </si>
  <si>
    <t>MARCELO - (11) 998377140</t>
  </si>
  <si>
    <t xml:space="preserve">PNEUS / SUSPENÇÃO / </t>
  </si>
  <si>
    <t xml:space="preserve">www.supersingle.com.br </t>
  </si>
  <si>
    <t>bts@supersingle.com.br</t>
  </si>
  <si>
    <t>THERMOKLIMA - Rua Ouro Verde de Goias, 91 - Cumbica - Guarulhos/SP - CEP: 07221-080</t>
  </si>
  <si>
    <t>(11) 2446-3443 / (11) 98632-0292</t>
  </si>
  <si>
    <t>NILCELIA CARNEIRO</t>
  </si>
  <si>
    <t>TIETÊ CAMINHOES E ONIBUS VOLKS - Av. Sen. Adolf Schindling, 138 - Vila Herminia, Guarulhos - SP, 07042-020</t>
  </si>
  <si>
    <t>(11) 2421-3000 / (11) 2423-3752</t>
  </si>
  <si>
    <t>MAYCON</t>
  </si>
  <si>
    <t>Concessionaria Volks</t>
  </si>
  <si>
    <t>CADASTRO APROVADO - (FATURA)</t>
  </si>
  <si>
    <t>TITAN DIESEL - BOMBAS INJETORAS: Av. João Veloso da Silva, 299 - Cumbica, Guarulhos - SP, 07180-010</t>
  </si>
  <si>
    <t> (11) 2411-2239</t>
  </si>
  <si>
    <t xml:space="preserve">WAGNER (11) - 94012-3799  KETHY / MAGDA </t>
  </si>
  <si>
    <t>BOMBAS INJETORAS</t>
  </si>
  <si>
    <t>ATENDIMENTO@TITANDIESEL.COM.BR</t>
  </si>
  <si>
    <t xml:space="preserve">VM PEÇAS E SERVIÇOS DIESEL: AV: SANTOS DUMONT, 985 CEP 07200-000 - GRU </t>
  </si>
  <si>
    <t>(11) 2482 3026</t>
  </si>
  <si>
    <t>VALTER</t>
  </si>
  <si>
    <t>FREIOS, MOTOR  CAMBIO, DIFERENCIAL</t>
  </si>
  <si>
    <t>vm_peças@terra.com.br</t>
  </si>
  <si>
    <t>financeiro@vmpeças.com.br</t>
  </si>
  <si>
    <r>
      <t xml:space="preserve">VOLCAM - SOLUÇÃO EM PEÇAS VOLVO - IVECO - USADAS SEMI-NOVAS </t>
    </r>
    <r>
      <rPr>
        <b/>
        <sz val="11"/>
        <rFont val="Calibri"/>
        <family val="2"/>
        <scheme val="minor"/>
      </rPr>
      <t>Rodovia Presidente Dutra, s/n KM 205,5 - Várzea dos Fontes, Guarulhos - SP, 07178-580</t>
    </r>
  </si>
  <si>
    <t>(11) 2436-1311</t>
  </si>
  <si>
    <t>DEIVISON - 11 - 94259-4644</t>
  </si>
  <si>
    <t>PEÇAS SEMI NOVAS - USADAS</t>
  </si>
  <si>
    <t>AMPLACAR Concept - R. Guilherme Lino dos Santos, 1344 - Jardim Flor do Campo, Guarulhos - SP, 07190-010</t>
  </si>
  <si>
    <t>(11) 2788-3668 / (11) 96208-4303</t>
  </si>
  <si>
    <t>ADRIANO / NEUSA</t>
  </si>
  <si>
    <t>HIGIENIZAÇÃO GERAL DE VEÍCULOS</t>
  </si>
  <si>
    <t>luanacontato@amplacar.net.br</t>
  </si>
  <si>
    <t>RUBÃO BORRACHARIA - Av. Candeá, 199 - Conj. Resid. Haroldo Veloso - Guarulhos/SP</t>
  </si>
  <si>
    <t>(11) 94532-7432</t>
  </si>
  <si>
    <t>RUBENS</t>
  </si>
  <si>
    <t>BORRACHARIA</t>
  </si>
  <si>
    <t>FAC Implementos Rodoviários - Rua Dep. Ulysses Guimarães, 387 - Taboão - Guarulhos/SP</t>
  </si>
  <si>
    <t>(11) 2469-7715 / (11) 94767-5414 / (11) 94767-5415</t>
  </si>
  <si>
    <t>DAIANE / FABIANO / ADRIANO</t>
  </si>
  <si>
    <t>LAVAGEM GERAL DE PESADOS / REFORMA DE BAU / MANUTENÇÃO ELÉTRICA / BORRACHARIA / FREIOS</t>
  </si>
  <si>
    <t>expressprestadora@hotmail.com</t>
  </si>
  <si>
    <t>Auto Vidros Senna Máquinas de Vidro Parabrisas Vidros Automotivos - Av. Martins Júnior, 382 - Jardim Bela Vista, Guarulhos - SP, 07141-000</t>
  </si>
  <si>
    <t>(11) 2407-1443</t>
  </si>
  <si>
    <t>EMILY</t>
  </si>
  <si>
    <t>CADA Comercial - R Quatá, 636 - Vila Palmares - Santo André, SP - CEP: 09061-380</t>
  </si>
  <si>
    <t>(11) 4361-3082
(11) 4367-1215
(11) 4367-5147</t>
  </si>
  <si>
    <t>PAULO / SORAIA</t>
  </si>
  <si>
    <t>EQUIPAMENTOS HIDRAÚLICOS</t>
  </si>
  <si>
    <t>KRAMER Auto Elétrico - Av. Papa João Paulo I, 311 - Jd. das Nações - Cumbica - Guarulhos/SP</t>
  </si>
  <si>
    <t>(11) 2432-5061          (11) 93147-3072        (11) 93146-7098        (11) 93418-2102         (11) 93147-2544</t>
  </si>
  <si>
    <t>COMERCIAL BRUNO          CARLOS       SÉRGIO             ROSE</t>
  </si>
  <si>
    <t>ELÉTRICA E INJEÇÃO ELETRÔNICA DIESEL</t>
  </si>
  <si>
    <t>kramerae@ig.com.br</t>
  </si>
  <si>
    <t>ELETROPAR Auto Peças - Rua Antonio Fonseca, 417 - Vila Maria - S.Paulo/SP - CEP: 02112-010</t>
  </si>
  <si>
    <t>(11) 2125-8000</t>
  </si>
  <si>
    <t>PEÇAS E ACESSÓRIOS</t>
  </si>
  <si>
    <t>http://www.eletropar.net/WebSite/index.php#</t>
  </si>
  <si>
    <t>PERIM Auto Peças - R. Clementina, 45 - Cumbica, Guarulhos - SP, 07222-040</t>
  </si>
  <si>
    <t>(11) 2413-4008 / (11) 97257-0354</t>
  </si>
  <si>
    <t>WELLINGTON SALES</t>
  </si>
  <si>
    <t>http://www.perimpecas.com.br/</t>
  </si>
  <si>
    <t>sales@perimpecas.com.br</t>
  </si>
  <si>
    <t>CENTRAL AUTO VIDROS - Av. Hugo Fumagale, 30 - Cumbica - Guarulhos/SP</t>
  </si>
  <si>
    <t>(11) 2446-0877 / (11) 95301-3154 / (11) 99737-4501</t>
  </si>
  <si>
    <t>MATHEUS / JULIANO</t>
  </si>
  <si>
    <t>BRO SERVICE - Bosch Car - Av. Tiradentes, 3163 - Jardim Bom Clima - Guarulhos/SP - CEP: 07196-000</t>
  </si>
  <si>
    <t>(11) 2441-3872</t>
  </si>
  <si>
    <t>CARDANS DUTRA - Av. Santos Dumont, - Cumbica - Guarulhos/SP</t>
  </si>
  <si>
    <t>(11) 2412-4648 / (11) 2412-2281 whatsapp</t>
  </si>
  <si>
    <t>JUNIOR</t>
  </si>
  <si>
    <t>CARDANS</t>
  </si>
  <si>
    <t>www.cardansdutra.com.br</t>
  </si>
  <si>
    <t>cardansdutra@gmail.com</t>
  </si>
  <si>
    <t>Mercetruck Auto Peças - Av. João Veloso da Silva, 549 - Cumbica, Guarulhos - SP, 07180-010</t>
  </si>
  <si>
    <t>(11) 2482-4161</t>
  </si>
  <si>
    <t>ALAN</t>
  </si>
  <si>
    <t>http://www.mercetruck.com.br/</t>
  </si>
  <si>
    <t>alan@mercetruck.com.br</t>
  </si>
  <si>
    <t>CHAVEIRO DECCO - Rua cachoeira,2181 Rosa de França /vale dos Machados, 07080 000 Guarulhos</t>
  </si>
  <si>
    <t>(11) 94715-3968</t>
  </si>
  <si>
    <t>DIEGO</t>
  </si>
  <si>
    <t>CHAVEIRO 24HS</t>
  </si>
  <si>
    <t xml:space="preserve">STYLLO FUNILARIA E PINTURA CAMINHÕES R. Alegre, 100 - Chácara Califórnia, São Paulo - SP, 03404-070 </t>
  </si>
  <si>
    <t>(11) 2091-7686 / (11) 94011-2004</t>
  </si>
  <si>
    <t>DIVALDO</t>
  </si>
  <si>
    <t>FUNILARIA E PINTURA CAMINHÕES</t>
  </si>
  <si>
    <t>Maciel Funilaria</t>
  </si>
  <si>
    <t>(11) 99911-0078</t>
  </si>
  <si>
    <t>MACIEL</t>
  </si>
  <si>
    <t>PV TRUCK</t>
  </si>
  <si>
    <t>(11) 97860-1595</t>
  </si>
  <si>
    <t>PEDRO</t>
  </si>
  <si>
    <t>SERGIPANA PNEUS - R. Padre Celestino, 415/431 - Jardim Santa Francisca, Guarulhos - SP, 07013-100</t>
  </si>
  <si>
    <t>(11) 2408-1175 / (11) 2440-6679 / (11) 96085-7208</t>
  </si>
  <si>
    <t>MARCOS CUNHA</t>
  </si>
  <si>
    <t>PNEUS / ALINHAMENTO / BALANCEAMENTO</t>
  </si>
  <si>
    <t>marcoscunha@sergipanapneus.com.br</t>
  </si>
  <si>
    <t>BASE - Av. Monteiro Lobato, 5674 - Cumbica, Guarulhos - SP, 07180-011</t>
  </si>
  <si>
    <t>(11) 2481-5295</t>
  </si>
  <si>
    <t>PORTO CLEAN - Av. Otavio Braga de Mesquita, 2771 - São Geraldo - Guarulhos - SP</t>
  </si>
  <si>
    <t>(11) 2407-6433 / (11) 95029-3934</t>
  </si>
  <si>
    <t>LÉO</t>
  </si>
  <si>
    <t>AR CONDICIONADO</t>
  </si>
  <si>
    <t>www.arportoclean.com.br</t>
  </si>
  <si>
    <t>JM AUTO CAR - Rua Barbacena, 543 - Bom Clima - Guarulhos/SP</t>
  </si>
  <si>
    <t>(11) 2600-7270</t>
  </si>
  <si>
    <t>CASA DAS BATERIAS - GUARATINGUETÁ/SP</t>
  </si>
  <si>
    <t>(12) 3132-2075 / (12) 9 9720-6176</t>
  </si>
  <si>
    <t>FELIPE</t>
  </si>
  <si>
    <t>BATERIAS AUTOMOTIVAS</t>
  </si>
  <si>
    <t>DIESEL LEVE AUTO PEÇAS - Rua Alencar Araripe, 95 - Sacomã - São Paulo/SP</t>
  </si>
  <si>
    <t>(11) 2400-0225 / (11) 95373-8629</t>
  </si>
  <si>
    <t>PEÇAS E ACESSÓRIOS VANS E UTILITÁRIOS</t>
  </si>
  <si>
    <t>vendas@dieselleve.com.br</t>
  </si>
  <si>
    <t>CARDANS SÃO PAULO - Av. Santos Dumont, 935 - Cumbica - Guarulhos/SP</t>
  </si>
  <si>
    <t>(11) 2085-6516 / (11) 95034-2819</t>
  </si>
  <si>
    <t>DENISE</t>
  </si>
  <si>
    <t>cardanssaopaulo@bol.com.br</t>
  </si>
  <si>
    <t>Baus Furcar Ind. e Com. Ltda - R. Luiz Rodrigues de Freitas, 204 - Jardim Santa Francisca, Guarulhos - SP, 07034-050</t>
  </si>
  <si>
    <t>(11) 2440-5222</t>
  </si>
  <si>
    <t>RICARDO</t>
  </si>
  <si>
    <t>REFORMAS BAÚS E CHASSIS</t>
  </si>
  <si>
    <t>ricardo@furcar.com.br</t>
  </si>
  <si>
    <t>SOS BAÚ - Av. Projecta, 120 - Cidade Industrial Satélite, Guarulhos - SP, 07222-130</t>
  </si>
  <si>
    <t>(11) 2481-2481</t>
  </si>
  <si>
    <t>RENATO / ROBERTO</t>
  </si>
  <si>
    <t>projetos@4truck.com.br</t>
  </si>
  <si>
    <t>Bia Baús - Reforma de Baús de Caminhões - Rodov. Fernão Dias 12238 km 84 sentido sp antes do jaçana, São Paulo - SP, 02284-000</t>
  </si>
  <si>
    <t>(11) 99528-3062</t>
  </si>
  <si>
    <t>BIA</t>
  </si>
  <si>
    <t>REFORMAS BAÚS</t>
  </si>
  <si>
    <t>bia.baus@terra.com.br</t>
  </si>
  <si>
    <t>ALONGART - Rua Dr. Assis Ribeiro, 8630 - Ermelino Matarazzo, São Paulo - SP, 03810-140</t>
  </si>
  <si>
    <t>(11) 2943-7172 / (11) 99952-4179</t>
  </si>
  <si>
    <t>alongartsp@gmail.com</t>
  </si>
  <si>
    <t>FINOCAR -   Rua Ipacaeta ,1237 - JD Presidente Dutra - Guarulhos-SP</t>
  </si>
  <si>
    <t>(11) 2431-0693</t>
  </si>
  <si>
    <t>finocarbau@hotmail.com.br</t>
  </si>
  <si>
    <t>TRUCKFORT - Rua João Pedro Blumental 691
Cid. Ind. Satélite Guarulhos/SP CEP: 07224-150</t>
  </si>
  <si>
    <t>(11) 2413-0840 / (11) 99890-1012</t>
  </si>
  <si>
    <t>FERNANDO LIRA</t>
  </si>
  <si>
    <t>fernando@truckfort.com.br</t>
  </si>
  <si>
    <t>VIA NOVA PLAST - Av. Otávio Braga de Mesquita, 3345 - Jardim Bela Vista, Guarulhos - SP, 07140-230</t>
  </si>
  <si>
    <t>(11) 2949-1122</t>
  </si>
  <si>
    <t>ALEXANDRE / EDUARDO</t>
  </si>
  <si>
    <t>vendas@vianovaplast.com.br</t>
  </si>
  <si>
    <t>AUTO GIRO Mecanica Diesel - Av. Otávio Braga de Mesquita, 3245 - Taboão, Guarulhos - SP, 07140-230</t>
  </si>
  <si>
    <t>(11) 4964-1439</t>
  </si>
  <si>
    <t>ROGÉRIO</t>
  </si>
  <si>
    <t>MECANICA DIESEL EM GERAL</t>
  </si>
  <si>
    <t>rogeriotexas@hotmail.com</t>
  </si>
  <si>
    <t>TECHNIC Controle de Vetores e Pragas Urbanas - Rua Madalena de Madureira, 93 - Sítio do Morro, São Paulo - SP, 02551-040</t>
  </si>
  <si>
    <t>(11) 3965-6274</t>
  </si>
  <si>
    <t>SORAIA /EUGENIO</t>
  </si>
  <si>
    <t>DEDETIZAÇÃO</t>
  </si>
  <si>
    <t>RENOVADORA DE PNEUS CRUZ DE MALTA - Av. Santos Dumont, 1.839 - Cumbica - Guarulhos/sp</t>
  </si>
  <si>
    <t>(11) 2412-0261</t>
  </si>
  <si>
    <t>cobranca@cruzdemaltapneus.com.br</t>
  </si>
  <si>
    <t>GRU BATERIAS - Rua Brigadeiro Mario Perdigão, 1448 - Cumbica - Guarulhos/sp</t>
  </si>
  <si>
    <t>(11) 2085-0377 / (11) 2085-0270 / (11) 94722-2410</t>
  </si>
  <si>
    <t>LAUDIANE</t>
  </si>
  <si>
    <t>vendas@grubaterias.com.br</t>
  </si>
  <si>
    <t>D'PASCOAL - Av. Monteiro Lobato, 1291 - Macedo - Guarulhos/SP</t>
  </si>
  <si>
    <t>(11) 2461-5900</t>
  </si>
  <si>
    <t>LUCIANE / GRAZIELE</t>
  </si>
  <si>
    <t>LOJA278GUA@dpaschoal.com.br</t>
  </si>
  <si>
    <t>(11) 2468-1717</t>
  </si>
  <si>
    <t>PEÇAS E ACESSORIOS</t>
  </si>
  <si>
    <t>presidente2@presidente2.com.br</t>
  </si>
  <si>
    <t xml:space="preserve">Jean Peças p/ Vans - Av. Santos Dumont, 1300 - Cidade Industrial Satélite de São Paulo, Guarulhos - SP, 07180-270 </t>
  </si>
  <si>
    <t>(11) 2303-9373</t>
  </si>
  <si>
    <t>ALESSANDRA / BRUNO / JEAN</t>
  </si>
  <si>
    <t>PEÇAS P/ VANS</t>
  </si>
  <si>
    <t>lojajeanpecas@gmail.com</t>
  </si>
  <si>
    <t>POSTO CARRETEIRO - RODOVIA PRES. DUTRA KM 222 - GUARULHOS/SP</t>
  </si>
  <si>
    <t>Platobus Embreagem Remanufaturada - Av. Santos Dumont, 1596 - Cumbica, Guarulhos - SP, 07220-000</t>
  </si>
  <si>
    <t>(11) 2085-4520</t>
  </si>
  <si>
    <t>FÁBIO</t>
  </si>
  <si>
    <t>EMBREAGEM</t>
  </si>
  <si>
    <t>rafael@platobus.com.br  vendas@platobus.com.br</t>
  </si>
  <si>
    <t>logitrac -  Autotrac Avenida – Justino de Maio, 848 Bairro – Cumbica – Guarulhos
CEP – 07222-000</t>
  </si>
  <si>
    <t>(11) 2211-0819</t>
  </si>
  <si>
    <t>AUTO POSTO ASAS DE CUMBICA  Avenida Marginal do Rio Baquirivu, 450, Cecap, Guarulhos - SP</t>
  </si>
  <si>
    <t>(11) 2409-5646</t>
  </si>
  <si>
    <t>REI DO OLEO  Av. Santos Dumont, 1565 - Cidade Industrial Satélite de São Paulo, Guarulhos - SP, 07220-000</t>
  </si>
  <si>
    <t>Logitrac -  Autotrac Avenida – Justino de Maio, 848 Bairro – Cumbica – Guarulhos
CEP – 07222-000</t>
  </si>
  <si>
    <t xml:space="preserve">(11)2462-2700 </t>
  </si>
  <si>
    <t>POSTO PRESIDENTE II Rod. Pres. Dutra-Pista Lateral, 222 - Porto da Igreja, Guarulhos - SP, 07034-010</t>
  </si>
  <si>
    <t>H2o lava jato Av. Francisco Xavier Correa, 1670 - Bonsucesso, Guarulhos - SP, 07174-070</t>
  </si>
  <si>
    <t xml:space="preserve"> (11) 3444-9099</t>
  </si>
  <si>
    <t>VISTO CAR - Av. Guinle, 1815 - Cidade Industrial Satélite de São Paulo - SP</t>
  </si>
  <si>
    <t xml:space="preserve"> (11) 2303-1827</t>
  </si>
  <si>
    <t>VISTORIA</t>
  </si>
  <si>
    <t>MG MOLAS Av. Patos, 751 - Cidade Industrial Satélite de São Paulo, Guarulhos - SP, 07222-010</t>
  </si>
  <si>
    <t>D´AMBROSIO MECANICA DIESEL LTDA-ME R. Urbâno Santos - Jardim Cumbica, Guarulhos - SP, 07182-320</t>
  </si>
  <si>
    <t>Lídia Galoni Mercúrio, 320 - Jardim Santa Lidia, Guarulhos - SP, 07142-219</t>
  </si>
  <si>
    <t>(11) 2402-2962</t>
  </si>
  <si>
    <t>ampla car  R. Guilherme Lino dos Santos, 1344 - Jardim Flor do Campo, Guarulhos - SP, 07190-010</t>
  </si>
  <si>
    <t>(11) 2788-3668</t>
  </si>
  <si>
    <t>SANCA BASE SÃO BERNARDO Av. Venâncio Tomaz de Aquino – São Bernardo do Campo – SP</t>
  </si>
  <si>
    <t>Jem SÃO BERNARDO Estrada Particular Keiji Kimura, 111 - Cooperativa, São Bernardo do Campo - SP, 09852-010</t>
  </si>
  <si>
    <t>(11) 5035-2600</t>
  </si>
  <si>
    <t>EFW1835 / DTE8621</t>
  </si>
  <si>
    <t>0 Á 249K</t>
  </si>
  <si>
    <t>250 Á 999K</t>
  </si>
  <si>
    <t>1MM Á 3,9MM</t>
  </si>
  <si>
    <t>4MM Á 7,9MM</t>
  </si>
  <si>
    <t>8MM Á 12MM</t>
  </si>
  <si>
    <t>ACIMA DE 12MM</t>
  </si>
  <si>
    <t>TOTAL:</t>
  </si>
  <si>
    <t>TABELA DE RISCO</t>
  </si>
  <si>
    <t>REGIÃO</t>
  </si>
  <si>
    <t>UF</t>
  </si>
  <si>
    <t>AVARE</t>
  </si>
  <si>
    <t>BAURU</t>
  </si>
  <si>
    <t>SP</t>
  </si>
  <si>
    <t>BAU</t>
  </si>
  <si>
    <t xml:space="preserve">SP </t>
  </si>
  <si>
    <t>BOTUCATU</t>
  </si>
  <si>
    <t>DOURADO</t>
  </si>
  <si>
    <t>FERNAO</t>
  </si>
  <si>
    <t>IPAUSSU</t>
  </si>
  <si>
    <t>JAU</t>
  </si>
  <si>
    <t>LUCIANOPOLIS</t>
  </si>
  <si>
    <t>MARILIA</t>
  </si>
  <si>
    <t>PROMISSAO</t>
  </si>
  <si>
    <t>TORRINHA</t>
  </si>
  <si>
    <t>AGUAS DE LINDOIA</t>
  </si>
  <si>
    <t>CAMPINAS</t>
  </si>
  <si>
    <t>CPQ</t>
  </si>
  <si>
    <t>AMERICANA</t>
  </si>
  <si>
    <t>ARARAS</t>
  </si>
  <si>
    <t>BRAGANÇA PAULISTA</t>
  </si>
  <si>
    <t>CAPIVARI</t>
  </si>
  <si>
    <t>ENGENHEIRO COELHO</t>
  </si>
  <si>
    <t>HORTOLANDIA</t>
  </si>
  <si>
    <t>ITAPEVA</t>
  </si>
  <si>
    <t>ITAPIRA</t>
  </si>
  <si>
    <t>JUNDIAI</t>
  </si>
  <si>
    <t>MOGI GUAÇU</t>
  </si>
  <si>
    <t>MOGI MIRIM</t>
  </si>
  <si>
    <t>PIRACICABA</t>
  </si>
  <si>
    <t>PORTO FELIZ</t>
  </si>
  <si>
    <t>RIO CLARO</t>
  </si>
  <si>
    <t>SALTO</t>
  </si>
  <si>
    <t>SANTA BARBARA DO OESTE</t>
  </si>
  <si>
    <t>SÃO JOÃO DA BOA VISTA</t>
  </si>
  <si>
    <t>SÃO PEDRO</t>
  </si>
  <si>
    <t>SOROCABA</t>
  </si>
  <si>
    <t>SUMARE</t>
  </si>
  <si>
    <t>TATUI</t>
  </si>
  <si>
    <t>PRESIDENTE PRUDENTE</t>
  </si>
  <si>
    <t>PPB</t>
  </si>
  <si>
    <t>ADAMANTINA</t>
  </si>
  <si>
    <t>ASSIS</t>
  </si>
  <si>
    <t>ALVARES MACHADO</t>
  </si>
  <si>
    <t>TARUMA</t>
  </si>
  <si>
    <t>PRESIDENTE VENCESLAU</t>
  </si>
  <si>
    <t>FRANCA</t>
  </si>
  <si>
    <t>DRACENA</t>
  </si>
  <si>
    <t>ANDRADINA</t>
  </si>
  <si>
    <t>TUPÃ</t>
  </si>
  <si>
    <t>RIBEIRÃO PRETO</t>
  </si>
  <si>
    <t>RAO</t>
  </si>
  <si>
    <t>PASSOS</t>
  </si>
  <si>
    <t>MG</t>
  </si>
  <si>
    <t>ARARAQUARA</t>
  </si>
  <si>
    <t>SANTA CRUZ DA ESPERANÇA</t>
  </si>
  <si>
    <t>IBATE</t>
  </si>
  <si>
    <t>AMERICO BRASILIENSE</t>
  </si>
  <si>
    <t>SÃO CARLOS</t>
  </si>
  <si>
    <t>JERIQUARA</t>
  </si>
  <si>
    <t>SANTA CRUZ DAS PALMEIRAS</t>
  </si>
  <si>
    <t>PORTO FERREIRA</t>
  </si>
  <si>
    <t>SÃO JOSÉ DOS CAMPOS</t>
  </si>
  <si>
    <t>SJK</t>
  </si>
  <si>
    <t>TAUBATÉ</t>
  </si>
  <si>
    <t>CARAGUATATUBA</t>
  </si>
  <si>
    <t>PARAIBUNA</t>
  </si>
  <si>
    <t>JAMBEIRO</t>
  </si>
  <si>
    <t>TREMEMBÉ</t>
  </si>
  <si>
    <t>LORENA</t>
  </si>
  <si>
    <t>SÃO JOSÉ DO RIO PRETO</t>
  </si>
  <si>
    <t>SJP</t>
  </si>
  <si>
    <t>JALES</t>
  </si>
  <si>
    <t>BARRETOS</t>
  </si>
  <si>
    <t>ARAÇATUBA</t>
  </si>
  <si>
    <t>ITURAMA</t>
  </si>
  <si>
    <t>PARISI</t>
  </si>
  <si>
    <t xml:space="preserve">SÃO JOSÉ DO RIO PRETO SP </t>
  </si>
  <si>
    <t>FRUTAL</t>
  </si>
  <si>
    <t xml:space="preserve">VALENTIM GENTIL </t>
  </si>
  <si>
    <t>PENAPOLIS</t>
  </si>
  <si>
    <t>Dia</t>
  </si>
  <si>
    <t>segunda</t>
  </si>
  <si>
    <t>terça</t>
  </si>
  <si>
    <t>quarta</t>
  </si>
  <si>
    <t>quinta</t>
  </si>
  <si>
    <t>sexta</t>
  </si>
  <si>
    <t>Final da placa</t>
  </si>
  <si>
    <t>1 e 2</t>
  </si>
  <si>
    <t>3 e 4</t>
  </si>
  <si>
    <t>5 e 6</t>
  </si>
  <si>
    <t>7 e 8</t>
  </si>
  <si>
    <t>9 e 0</t>
  </si>
  <si>
    <t>das 7 às 10 horas e das 17 às 20 horas</t>
  </si>
  <si>
    <t>RESTRIÇÃO</t>
  </si>
  <si>
    <t>MAPA CTE</t>
  </si>
  <si>
    <t>RODIZIO</t>
  </si>
  <si>
    <t>HABILITAR MACRO</t>
  </si>
  <si>
    <t>VOL</t>
  </si>
  <si>
    <t>PESO
TOTAL</t>
  </si>
  <si>
    <t>m³</t>
  </si>
  <si>
    <t>CUBAGEM</t>
  </si>
  <si>
    <t>M³</t>
  </si>
  <si>
    <t>VOLUMES</t>
  </si>
  <si>
    <t>Kg</t>
  </si>
  <si>
    <t>peso real (balança)</t>
  </si>
  <si>
    <t>NÃO ALTERAR</t>
  </si>
  <si>
    <t>A(cm)</t>
  </si>
  <si>
    <t>C(cm)</t>
  </si>
  <si>
    <t>L(cm)</t>
  </si>
  <si>
    <t>SEQUENCIA</t>
  </si>
  <si>
    <t>PRESIDENTE BERNARDES</t>
  </si>
  <si>
    <t>VTCLOG BASE GRU - PRÉ-ALERTA INTERESTADUAL</t>
  </si>
  <si>
    <t>ANDERSON GENEROSO / Elias Alves</t>
  </si>
  <si>
    <r>
      <t>CLEBERSON AMANCO DOS SANTOS</t>
    </r>
    <r>
      <rPr>
        <sz val="11"/>
        <color theme="1"/>
        <rFont val="Times New Roman"/>
        <family val="1"/>
      </rPr>
      <t> </t>
    </r>
    <r>
      <rPr>
        <b/>
        <sz val="12"/>
        <color rgb="FF000000"/>
        <rFont val="Calibri"/>
        <family val="2"/>
        <scheme val="minor"/>
      </rPr>
      <t>11 986173012</t>
    </r>
  </si>
  <si>
    <t>paletes</t>
  </si>
  <si>
    <t>truck</t>
  </si>
  <si>
    <t>carreta</t>
  </si>
  <si>
    <t>alongado</t>
  </si>
  <si>
    <t>GILMAR DA ROCHA 11 953696777</t>
  </si>
  <si>
    <t>CLIMATIZADO / VACINAS / MEDICAMENTO PERECIVEL</t>
  </si>
  <si>
    <t>FRANCISCO WILLAME DINIZ (11) 977480861</t>
  </si>
  <si>
    <t>CUE4192 / CUC6245</t>
  </si>
  <si>
    <t>FABIO FERREIRA DE OLIVEIRA 11 947692132</t>
  </si>
  <si>
    <t>RONALDO MOURA SILVA 11 947962132</t>
  </si>
  <si>
    <t>CARGA GERAL - QUÍMICO</t>
  </si>
  <si>
    <t>ADILSON DA SILVA SANTOS (11) 932032572</t>
  </si>
  <si>
    <t>MARCOS ROBERTO FERNANDES DA SILVA (11) 94498-5221</t>
  </si>
  <si>
    <t>JOSE ANTONIO GONZAGA (11) 97797-4759</t>
  </si>
  <si>
    <t>JOAO MARCOS DE MACEDO – 11 24310406</t>
  </si>
  <si>
    <t xml:space="preserve">EDILSON SILVA MIRANDA 11986431428 11952872560 </t>
  </si>
  <si>
    <t>JOSE ERLNA GOMES MATIAS 11985665858 11948759651</t>
  </si>
  <si>
    <t>ITALO MOISES PINTO 11930706781 11996031958</t>
  </si>
  <si>
    <t>PAULO SERGIO ALVES 11959128532 1120883007</t>
  </si>
  <si>
    <t>ANDRE FIGUEIRA DE MENEZES 11930736285</t>
  </si>
  <si>
    <t>SERGIO RODRIGUES DE MOURA PIRES 11959016448</t>
  </si>
  <si>
    <t>MARCIO RODRIGUES DOS SANTOS 11985833587</t>
  </si>
  <si>
    <t>SERGIO RICARDO NOGUEIRA 11954991885 11968003751</t>
  </si>
  <si>
    <t>andia</t>
  </si>
  <si>
    <t>GILDEONE MATOS RIOS (11) 966507266</t>
  </si>
  <si>
    <t>BASE GRU X POA</t>
  </si>
  <si>
    <t>09/01 - 08:00</t>
  </si>
  <si>
    <t>PORTO ALEGRE</t>
  </si>
  <si>
    <t>ENTREGA NO AGENTE:
PED: 338107</t>
  </si>
  <si>
    <t>MOTORISTA ENTREGA
PED: 336514/336810</t>
  </si>
  <si>
    <t>MOTORISTA ENTREGA
PED: 337130/337138/337359</t>
  </si>
  <si>
    <t>MOTORISTA ENTREGA
PED: 337202/337782</t>
  </si>
  <si>
    <t xml:space="preserve">SEGUE COM ESCOLTA E EM COMBOIO COM EFW1833/EFW1828 - GIBSON </t>
  </si>
  <si>
    <t>MEDICAMENTOS</t>
  </si>
  <si>
    <t>BASE GRU X RV IMOLA ÁGUA CHATA</t>
  </si>
  <si>
    <t>RV IMOLA ÁGUA CHATA /GRU</t>
  </si>
  <si>
    <t>ACOMPANHAMENTO: PAULO SERGIO - JIV3562</t>
  </si>
  <si>
    <t>SAÍDA : 14/01 ÀS 07:00</t>
  </si>
  <si>
    <t>GILVAN MARCELINO DE OLIVEIRA 11 999672440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</si>
</sst>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dd/mm/yy;@"/>
    <numFmt numFmtId="165" formatCode="dd/mm/yyyy\ h:mm"/>
    <numFmt numFmtId="166" formatCode="0_ "/>
    <numFmt numFmtId="167" formatCode="0.00_ "/>
  </numFmts>
  <fonts count="66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9"/>
      <name val="Segoe U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0"/>
      <color theme="1"/>
      <name val="Times New Roman"/>
      <family val="1"/>
    </font>
    <font>
      <b/>
      <sz val="11"/>
      <color rgb="FFFF0000"/>
      <name val="Arial Narrow"/>
      <family val="2"/>
    </font>
    <font>
      <b/>
      <sz val="11"/>
      <color rgb="FF000000"/>
      <name val="Arial Narrow"/>
      <family val="2"/>
    </font>
    <font>
      <b/>
      <sz val="15"/>
      <color rgb="FF000000"/>
      <name val="Arial Narrow"/>
      <family val="2"/>
    </font>
    <font>
      <b/>
      <sz val="18"/>
      <color rgb="FF000000"/>
      <name val="Arial Narrow"/>
      <family val="2"/>
    </font>
    <font>
      <b/>
      <sz val="10"/>
      <color rgb="FF222222"/>
      <name val="Arial Narrow"/>
      <family val="2"/>
    </font>
    <font>
      <b/>
      <sz val="10"/>
      <color rgb="FF000000"/>
      <name val="Arial Narrow"/>
      <family val="2"/>
    </font>
    <font>
      <b/>
      <sz val="10"/>
      <color rgb="FFFF0000"/>
      <name val="Arial Narrow"/>
      <family val="2"/>
    </font>
    <font>
      <b/>
      <sz val="22"/>
      <color rgb="FF000000"/>
      <name val="Arial Narrow"/>
      <family val="2"/>
    </font>
    <font>
      <b/>
      <sz val="12"/>
      <color rgb="FF000000"/>
      <name val="Arial"/>
      <family val="2"/>
    </font>
    <font>
      <b/>
      <sz val="12"/>
      <color rgb="FFFF0000"/>
      <name val="Arial"/>
      <family val="2"/>
    </font>
    <font>
      <b/>
      <sz val="12"/>
      <color rgb="FF222B35"/>
      <name val="Arial"/>
      <family val="2"/>
    </font>
    <font>
      <sz val="12"/>
      <color rgb="FF222B35"/>
      <name val="Arial"/>
      <family val="2"/>
    </font>
    <font>
      <sz val="12"/>
      <color rgb="FF000000"/>
      <name val="Arial"/>
      <family val="2"/>
    </font>
    <font>
      <sz val="10"/>
      <color rgb="FF000000"/>
      <name val="Arial"/>
      <family val="2"/>
    </font>
    <font>
      <sz val="12"/>
      <color rgb="FF222222"/>
      <name val="Arial"/>
      <family val="2"/>
    </font>
    <font>
      <b/>
      <sz val="14"/>
      <color rgb="FFFF0000"/>
      <name val="Arial"/>
      <family val="2"/>
    </font>
    <font>
      <u/>
      <sz val="11"/>
      <color theme="1"/>
      <name val="Calibri"/>
      <family val="2"/>
      <scheme val="minor"/>
    </font>
    <font>
      <b/>
      <u/>
      <sz val="12"/>
      <color rgb="FFFF0000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rgb="FF222B3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6"/>
      <color rgb="FF222B35"/>
      <name val="Arial"/>
      <family val="2"/>
    </font>
    <font>
      <b/>
      <sz val="11"/>
      <color rgb="FF222B35"/>
      <name val="Arial"/>
      <family val="2"/>
    </font>
    <font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name val="Arial"/>
      <family val="2"/>
    </font>
    <font>
      <b/>
      <i/>
      <sz val="11"/>
      <name val="Arial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color rgb="FFFF0000"/>
      <name val="Arial"/>
      <family val="2"/>
    </font>
    <font>
      <b/>
      <sz val="14"/>
      <color rgb="FF000000"/>
      <name val="Arial Narrow"/>
      <family val="2"/>
    </font>
    <font>
      <b/>
      <sz val="18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Calibri"/>
      <family val="2"/>
      <scheme val="minor"/>
    </font>
    <font>
      <sz val="14"/>
      <color rgb="FF222B35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Arial Nova Light"/>
      <family val="2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11"/>
      <color theme="1"/>
      <name val="Times New Roman"/>
      <family val="1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36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402">
    <xf numFmtId="0" fontId="0" fillId="0" borderId="0" xfId="0"/>
    <xf numFmtId="0" fontId="0" fillId="0" borderId="18" xfId="0" applyFont="1" applyBorder="1"/>
    <xf numFmtId="0" fontId="0" fillId="0" borderId="19" xfId="0" applyFont="1" applyBorder="1"/>
    <xf numFmtId="0" fontId="4" fillId="0" borderId="20" xfId="0" applyFont="1" applyBorder="1"/>
    <xf numFmtId="0" fontId="4" fillId="0" borderId="19" xfId="0" applyFont="1" applyBorder="1"/>
    <xf numFmtId="0" fontId="5" fillId="0" borderId="19" xfId="0" applyFont="1" applyBorder="1"/>
    <xf numFmtId="0" fontId="0" fillId="0" borderId="0" xfId="0" applyAlignment="1">
      <alignment vertical="center"/>
    </xf>
    <xf numFmtId="0" fontId="6" fillId="3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7" fillId="0" borderId="0" xfId="0" applyFont="1"/>
    <xf numFmtId="3" fontId="10" fillId="0" borderId="8" xfId="0" applyNumberFormat="1" applyFont="1" applyBorder="1" applyAlignment="1">
      <alignment horizontal="center" vertical="center"/>
    </xf>
    <xf numFmtId="0" fontId="9" fillId="8" borderId="21" xfId="0" applyFont="1" applyFill="1" applyBorder="1" applyAlignment="1">
      <alignment vertical="center"/>
    </xf>
    <xf numFmtId="0" fontId="9" fillId="8" borderId="9" xfId="0" applyFont="1" applyFill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 wrapText="1"/>
    </xf>
    <xf numFmtId="0" fontId="17" fillId="10" borderId="10" xfId="0" applyFont="1" applyFill="1" applyBorder="1" applyAlignment="1">
      <alignment horizontal="center" vertical="center" wrapText="1"/>
    </xf>
    <xf numFmtId="0" fontId="16" fillId="10" borderId="3" xfId="0" applyFont="1" applyFill="1" applyBorder="1" applyAlignment="1">
      <alignment vertical="center"/>
    </xf>
    <xf numFmtId="0" fontId="21" fillId="10" borderId="15" xfId="0" applyFont="1" applyFill="1" applyBorder="1" applyAlignment="1">
      <alignment vertical="center"/>
    </xf>
    <xf numFmtId="0" fontId="18" fillId="7" borderId="8" xfId="0" applyFont="1" applyFill="1" applyBorder="1" applyAlignment="1">
      <alignment horizontal="center" vertical="center"/>
    </xf>
    <xf numFmtId="0" fontId="2" fillId="2" borderId="1" xfId="0" quotePrefix="1" applyFont="1" applyFill="1" applyBorder="1" applyAlignment="1">
      <alignment horizontal="left" vertical="center"/>
    </xf>
    <xf numFmtId="0" fontId="2" fillId="0" borderId="1" xfId="0" quotePrefix="1" applyFont="1" applyBorder="1" applyAlignment="1">
      <alignment horizontal="left" vertical="center"/>
    </xf>
    <xf numFmtId="0" fontId="24" fillId="0" borderId="0" xfId="0" applyFont="1"/>
    <xf numFmtId="22" fontId="0" fillId="0" borderId="0" xfId="0" applyNumberFormat="1"/>
    <xf numFmtId="0" fontId="0" fillId="0" borderId="0" xfId="0" applyFont="1"/>
    <xf numFmtId="0" fontId="26" fillId="0" borderId="0" xfId="0" applyFont="1"/>
    <xf numFmtId="0" fontId="27" fillId="0" borderId="1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left" vertical="center" wrapText="1"/>
    </xf>
    <xf numFmtId="0" fontId="29" fillId="5" borderId="1" xfId="0" applyFont="1" applyFill="1" applyBorder="1" applyAlignment="1">
      <alignment horizontal="left" vertical="center"/>
    </xf>
    <xf numFmtId="0" fontId="27" fillId="0" borderId="22" xfId="0" applyFont="1" applyBorder="1" applyAlignment="1">
      <alignment horizontal="left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0" fillId="0" borderId="24" xfId="0" applyFont="1" applyFill="1" applyBorder="1"/>
    <xf numFmtId="0" fontId="28" fillId="0" borderId="1" xfId="0" applyFont="1" applyBorder="1"/>
    <xf numFmtId="0" fontId="28" fillId="0" borderId="0" xfId="0" applyFont="1" applyBorder="1" applyAlignment="1">
      <alignment horizontal="left" vertical="center"/>
    </xf>
    <xf numFmtId="0" fontId="7" fillId="0" borderId="0" xfId="0" applyFont="1" applyBorder="1"/>
    <xf numFmtId="0" fontId="0" fillId="0" borderId="0" xfId="0" applyBorder="1"/>
    <xf numFmtId="0" fontId="0" fillId="0" borderId="1" xfId="0" applyBorder="1"/>
    <xf numFmtId="0" fontId="20" fillId="10" borderId="1" xfId="0" applyFont="1" applyFill="1" applyBorder="1" applyAlignment="1">
      <alignment horizontal="center" vertical="center"/>
    </xf>
    <xf numFmtId="0" fontId="19" fillId="10" borderId="1" xfId="0" applyFont="1" applyFill="1" applyBorder="1" applyAlignment="1">
      <alignment horizontal="center" vertical="center"/>
    </xf>
    <xf numFmtId="0" fontId="27" fillId="0" borderId="0" xfId="0" applyFont="1" applyBorder="1" applyAlignment="1">
      <alignment horizontal="left" vertical="center"/>
    </xf>
    <xf numFmtId="0" fontId="32" fillId="0" borderId="0" xfId="0" applyFont="1"/>
    <xf numFmtId="0" fontId="29" fillId="0" borderId="0" xfId="0" applyFont="1" applyBorder="1" applyAlignment="1">
      <alignment horizontal="left" vertical="center" wrapText="1"/>
    </xf>
    <xf numFmtId="165" fontId="23" fillId="6" borderId="30" xfId="0" applyNumberFormat="1" applyFont="1" applyFill="1" applyBorder="1" applyAlignment="1">
      <alignment horizontal="center" vertical="center"/>
    </xf>
    <xf numFmtId="0" fontId="2" fillId="2" borderId="5" xfId="0" quotePrefix="1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7" fillId="5" borderId="0" xfId="0" applyFont="1" applyFill="1" applyBorder="1" applyAlignment="1">
      <alignment horizontal="left" vertical="center"/>
    </xf>
    <xf numFmtId="44" fontId="0" fillId="0" borderId="0" xfId="1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0" fillId="0" borderId="26" xfId="0" applyBorder="1"/>
    <xf numFmtId="0" fontId="0" fillId="0" borderId="34" xfId="0" applyBorder="1"/>
    <xf numFmtId="0" fontId="0" fillId="0" borderId="22" xfId="0" applyBorder="1"/>
    <xf numFmtId="0" fontId="0" fillId="0" borderId="35" xfId="0" applyBorder="1"/>
    <xf numFmtId="14" fontId="19" fillId="10" borderId="1" xfId="0" applyNumberFormat="1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14" fontId="19" fillId="10" borderId="1" xfId="0" applyNumberFormat="1" applyFont="1" applyFill="1" applyBorder="1" applyAlignment="1">
      <alignment horizontal="center" vertical="center"/>
    </xf>
    <xf numFmtId="0" fontId="20" fillId="10" borderId="29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29" fillId="5" borderId="0" xfId="0" applyFont="1" applyFill="1" applyBorder="1" applyAlignment="1">
      <alignment horizontal="left" vertical="center"/>
    </xf>
    <xf numFmtId="0" fontId="33" fillId="5" borderId="0" xfId="0" applyFont="1" applyFill="1" applyAlignment="1">
      <alignment vertical="center"/>
    </xf>
    <xf numFmtId="0" fontId="33" fillId="5" borderId="0" xfId="0" applyFont="1" applyFill="1" applyAlignment="1">
      <alignment horizontal="left" vertical="center"/>
    </xf>
    <xf numFmtId="0" fontId="33" fillId="5" borderId="0" xfId="0" applyFont="1" applyFill="1" applyAlignment="1">
      <alignment horizontal="center" vertical="center"/>
    </xf>
    <xf numFmtId="0" fontId="33" fillId="5" borderId="0" xfId="0" applyFont="1" applyFill="1" applyAlignment="1">
      <alignment vertical="center" wrapText="1"/>
    </xf>
    <xf numFmtId="0" fontId="39" fillId="5" borderId="0" xfId="0" applyFont="1" applyFill="1" applyAlignment="1">
      <alignment horizontal="center" vertical="center"/>
    </xf>
    <xf numFmtId="0" fontId="33" fillId="5" borderId="0" xfId="0" applyFont="1" applyFill="1" applyAlignment="1">
      <alignment horizontal="center"/>
    </xf>
    <xf numFmtId="0" fontId="33" fillId="5" borderId="0" xfId="0" applyFont="1" applyFill="1"/>
    <xf numFmtId="0" fontId="33" fillId="5" borderId="35" xfId="0" applyFont="1" applyFill="1" applyBorder="1" applyAlignment="1">
      <alignment vertical="center"/>
    </xf>
    <xf numFmtId="0" fontId="33" fillId="5" borderId="37" xfId="0" applyFont="1" applyFill="1" applyBorder="1" applyAlignment="1">
      <alignment horizontal="center"/>
    </xf>
    <xf numFmtId="0" fontId="33" fillId="5" borderId="37" xfId="0" applyFont="1" applyFill="1" applyBorder="1" applyAlignment="1">
      <alignment vertical="center" wrapText="1"/>
    </xf>
    <xf numFmtId="0" fontId="39" fillId="5" borderId="37" xfId="0" applyFont="1" applyFill="1" applyBorder="1" applyAlignment="1">
      <alignment horizontal="center"/>
    </xf>
    <xf numFmtId="0" fontId="33" fillId="5" borderId="37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33" fillId="5" borderId="38" xfId="0" applyFont="1" applyFill="1" applyBorder="1" applyAlignment="1">
      <alignment vertical="center"/>
    </xf>
    <xf numFmtId="0" fontId="39" fillId="5" borderId="0" xfId="0" applyFont="1" applyFill="1" applyAlignment="1">
      <alignment horizontal="center"/>
    </xf>
    <xf numFmtId="0" fontId="33" fillId="5" borderId="39" xfId="0" applyFont="1" applyFill="1" applyBorder="1" applyAlignment="1">
      <alignment horizontal="center" vertical="center"/>
    </xf>
    <xf numFmtId="0" fontId="39" fillId="5" borderId="38" xfId="2" applyFont="1" applyFill="1" applyBorder="1" applyAlignment="1">
      <alignment vertical="center"/>
    </xf>
    <xf numFmtId="0" fontId="39" fillId="5" borderId="0" xfId="2" applyFont="1" applyFill="1" applyAlignment="1">
      <alignment horizontal="center"/>
    </xf>
    <xf numFmtId="0" fontId="39" fillId="5" borderId="0" xfId="2" applyFont="1" applyFill="1" applyAlignment="1">
      <alignment vertical="center" wrapText="1"/>
    </xf>
    <xf numFmtId="0" fontId="40" fillId="5" borderId="0" xfId="0" applyFont="1" applyFill="1" applyAlignment="1">
      <alignment horizontal="center"/>
    </xf>
    <xf numFmtId="0" fontId="40" fillId="5" borderId="0" xfId="0" applyFont="1" applyFill="1" applyAlignment="1">
      <alignment vertical="center" wrapText="1"/>
    </xf>
    <xf numFmtId="0" fontId="33" fillId="5" borderId="33" xfId="0" applyFont="1" applyFill="1" applyBorder="1" applyAlignment="1">
      <alignment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vertical="center" wrapText="1"/>
    </xf>
    <xf numFmtId="0" fontId="39" fillId="5" borderId="40" xfId="0" applyFont="1" applyFill="1" applyBorder="1" applyAlignment="1">
      <alignment horizontal="center" vertical="center"/>
    </xf>
    <xf numFmtId="0" fontId="33" fillId="5" borderId="31" xfId="0" applyFont="1" applyFill="1" applyBorder="1" applyAlignment="1">
      <alignment horizontal="center" vertical="center"/>
    </xf>
    <xf numFmtId="0" fontId="33" fillId="5" borderId="32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left" vertical="center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vertical="center" wrapText="1"/>
    </xf>
    <xf numFmtId="0" fontId="39" fillId="5" borderId="26" xfId="0" applyFont="1" applyFill="1" applyBorder="1" applyAlignment="1">
      <alignment horizontal="center" vertical="center"/>
    </xf>
    <xf numFmtId="0" fontId="33" fillId="5" borderId="32" xfId="0" applyFont="1" applyFill="1" applyBorder="1" applyAlignment="1">
      <alignment horizontal="center" vertical="center" wrapText="1"/>
    </xf>
    <xf numFmtId="0" fontId="39" fillId="5" borderId="32" xfId="0" applyFont="1" applyFill="1" applyBorder="1" applyAlignment="1">
      <alignment horizontal="center" vertical="center"/>
    </xf>
    <xf numFmtId="0" fontId="33" fillId="12" borderId="32" xfId="0" applyFont="1" applyFill="1" applyBorder="1" applyAlignment="1">
      <alignment vertical="center" wrapText="1"/>
    </xf>
    <xf numFmtId="0" fontId="33" fillId="12" borderId="32" xfId="0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9" fillId="12" borderId="32" xfId="2" applyFont="1" applyFill="1" applyBorder="1" applyAlignment="1">
      <alignment horizontal="center" vertical="center"/>
    </xf>
    <xf numFmtId="0" fontId="33" fillId="12" borderId="32" xfId="0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 vertical="center" wrapText="1"/>
    </xf>
    <xf numFmtId="0" fontId="39" fillId="5" borderId="1" xfId="2" applyFont="1" applyFill="1" applyBorder="1" applyAlignment="1">
      <alignment horizontal="center" vertical="center" wrapText="1"/>
    </xf>
    <xf numFmtId="0" fontId="39" fillId="5" borderId="1" xfId="2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left" vertical="center" wrapText="1"/>
    </xf>
    <xf numFmtId="0" fontId="42" fillId="5" borderId="1" xfId="0" applyFont="1" applyFill="1" applyBorder="1" applyAlignment="1">
      <alignment horizontal="center" vertical="center" wrapText="1"/>
    </xf>
    <xf numFmtId="0" fontId="42" fillId="5" borderId="1" xfId="0" applyFont="1" applyFill="1" applyBorder="1" applyAlignment="1">
      <alignment vertical="center" wrapText="1"/>
    </xf>
    <xf numFmtId="0" fontId="39" fillId="5" borderId="1" xfId="0" applyFont="1" applyFill="1" applyBorder="1" applyAlignment="1">
      <alignment horizontal="center" vertical="center"/>
    </xf>
    <xf numFmtId="0" fontId="43" fillId="5" borderId="1" xfId="2" applyFont="1" applyFill="1" applyBorder="1" applyAlignment="1">
      <alignment horizontal="center" vertical="center"/>
    </xf>
    <xf numFmtId="0" fontId="33" fillId="5" borderId="1" xfId="0" applyFont="1" applyFill="1" applyBorder="1"/>
    <xf numFmtId="0" fontId="33" fillId="12" borderId="1" xfId="0" applyFont="1" applyFill="1" applyBorder="1" applyAlignment="1">
      <alignment vertical="center" wrapText="1"/>
    </xf>
    <xf numFmtId="0" fontId="33" fillId="12" borderId="1" xfId="0" applyFont="1" applyFill="1" applyBorder="1" applyAlignment="1">
      <alignment horizontal="center" vertical="center" wrapText="1"/>
    </xf>
    <xf numFmtId="0" fontId="43" fillId="12" borderId="1" xfId="2" applyFont="1" applyFill="1" applyBorder="1" applyAlignment="1">
      <alignment horizontal="center" vertical="center"/>
    </xf>
    <xf numFmtId="0" fontId="33" fillId="12" borderId="0" xfId="0" applyFont="1" applyFill="1" applyAlignment="1">
      <alignment horizontal="center" vertical="center"/>
    </xf>
    <xf numFmtId="0" fontId="42" fillId="12" borderId="1" xfId="2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vertical="center"/>
    </xf>
    <xf numFmtId="0" fontId="39" fillId="5" borderId="1" xfId="0" applyFont="1" applyFill="1" applyBorder="1" applyAlignment="1">
      <alignment horizontal="center"/>
    </xf>
    <xf numFmtId="0" fontId="33" fillId="5" borderId="1" xfId="0" applyFont="1" applyFill="1" applyBorder="1" applyAlignment="1">
      <alignment horizontal="center"/>
    </xf>
    <xf numFmtId="0" fontId="39" fillId="12" borderId="1" xfId="2" applyFont="1" applyFill="1" applyBorder="1" applyAlignment="1">
      <alignment horizontal="center" vertical="center"/>
    </xf>
    <xf numFmtId="0" fontId="39" fillId="12" borderId="1" xfId="0" applyFont="1" applyFill="1" applyBorder="1" applyAlignment="1">
      <alignment horizontal="center" wrapText="1"/>
    </xf>
    <xf numFmtId="0" fontId="33" fillId="12" borderId="1" xfId="0" applyFont="1" applyFill="1" applyBorder="1" applyAlignment="1">
      <alignment horizontal="center" wrapText="1"/>
    </xf>
    <xf numFmtId="0" fontId="33" fillId="12" borderId="1" xfId="0" applyFont="1" applyFill="1" applyBorder="1" applyAlignment="1">
      <alignment wrapText="1"/>
    </xf>
    <xf numFmtId="0" fontId="33" fillId="5" borderId="1" xfId="0" applyFont="1" applyFill="1" applyBorder="1" applyAlignment="1">
      <alignment horizontal="left" vertical="center" wrapText="1"/>
    </xf>
    <xf numFmtId="0" fontId="39" fillId="5" borderId="1" xfId="0" applyFont="1" applyFill="1" applyBorder="1" applyAlignment="1">
      <alignment horizontal="center" wrapText="1"/>
    </xf>
    <xf numFmtId="0" fontId="43" fillId="5" borderId="1" xfId="2" applyFont="1" applyFill="1" applyBorder="1" applyAlignment="1">
      <alignment horizontal="center" wrapText="1"/>
    </xf>
    <xf numFmtId="0" fontId="33" fillId="5" borderId="1" xfId="0" applyFont="1" applyFill="1" applyBorder="1" applyAlignment="1">
      <alignment horizontal="center" wrapText="1"/>
    </xf>
    <xf numFmtId="0" fontId="39" fillId="12" borderId="1" xfId="0" applyFont="1" applyFill="1" applyBorder="1" applyAlignment="1">
      <alignment horizontal="center" vertical="center"/>
    </xf>
    <xf numFmtId="0" fontId="39" fillId="12" borderId="1" xfId="0" applyFont="1" applyFill="1" applyBorder="1" applyAlignment="1">
      <alignment horizontal="center" vertical="center" wrapText="1"/>
    </xf>
    <xf numFmtId="0" fontId="33" fillId="12" borderId="1" xfId="2" applyFont="1" applyFill="1" applyBorder="1" applyAlignment="1">
      <alignment horizontal="center" vertical="center"/>
    </xf>
    <xf numFmtId="0" fontId="33" fillId="12" borderId="22" xfId="0" applyFont="1" applyFill="1" applyBorder="1" applyAlignment="1">
      <alignment vertical="center" wrapText="1"/>
    </xf>
    <xf numFmtId="0" fontId="33" fillId="12" borderId="0" xfId="0" applyFont="1" applyFill="1" applyAlignment="1">
      <alignment vertical="center" wrapText="1"/>
    </xf>
    <xf numFmtId="0" fontId="33" fillId="12" borderId="22" xfId="0" applyFont="1" applyFill="1" applyBorder="1" applyAlignment="1">
      <alignment horizontal="center" vertical="center" wrapText="1"/>
    </xf>
    <xf numFmtId="0" fontId="39" fillId="12" borderId="28" xfId="0" applyFont="1" applyFill="1" applyBorder="1" applyAlignment="1">
      <alignment horizontal="center" vertical="center"/>
    </xf>
    <xf numFmtId="0" fontId="33" fillId="5" borderId="32" xfId="0" applyFont="1" applyFill="1" applyBorder="1" applyAlignment="1">
      <alignment vertical="center"/>
    </xf>
    <xf numFmtId="0" fontId="33" fillId="5" borderId="28" xfId="0" applyFont="1" applyFill="1" applyBorder="1" applyAlignment="1">
      <alignment vertical="center" wrapText="1"/>
    </xf>
    <xf numFmtId="0" fontId="33" fillId="5" borderId="22" xfId="0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vertical="center" wrapText="1"/>
    </xf>
    <xf numFmtId="0" fontId="39" fillId="5" borderId="22" xfId="0" applyFont="1" applyFill="1" applyBorder="1" applyAlignment="1">
      <alignment horizontal="center" wrapText="1"/>
    </xf>
    <xf numFmtId="0" fontId="33" fillId="5" borderId="22" xfId="0" applyFont="1" applyFill="1" applyBorder="1" applyAlignment="1">
      <alignment horizontal="center" wrapText="1"/>
    </xf>
    <xf numFmtId="0" fontId="33" fillId="12" borderId="0" xfId="0" applyFont="1" applyFill="1" applyAlignment="1">
      <alignment horizontal="center" vertical="center" wrapText="1"/>
    </xf>
    <xf numFmtId="0" fontId="33" fillId="12" borderId="22" xfId="0" applyFont="1" applyFill="1" applyBorder="1" applyAlignment="1">
      <alignment horizontal="center" vertical="center"/>
    </xf>
    <xf numFmtId="0" fontId="39" fillId="12" borderId="22" xfId="0" applyFont="1" applyFill="1" applyBorder="1" applyAlignment="1">
      <alignment horizontal="center" vertical="center"/>
    </xf>
    <xf numFmtId="0" fontId="33" fillId="12" borderId="1" xfId="0" applyFont="1" applyFill="1" applyBorder="1" applyAlignment="1">
      <alignment vertical="center"/>
    </xf>
    <xf numFmtId="0" fontId="33" fillId="5" borderId="1" xfId="0" applyFont="1" applyFill="1" applyBorder="1" applyAlignment="1">
      <alignment wrapText="1"/>
    </xf>
    <xf numFmtId="0" fontId="33" fillId="5" borderId="1" xfId="2" applyFont="1" applyFill="1" applyBorder="1" applyAlignment="1">
      <alignment horizontal="center" vertical="center"/>
    </xf>
    <xf numFmtId="0" fontId="43" fillId="5" borderId="1" xfId="2" applyFont="1" applyFill="1" applyBorder="1" applyAlignment="1">
      <alignment horizontal="center" vertical="center" wrapText="1"/>
    </xf>
    <xf numFmtId="0" fontId="33" fillId="12" borderId="1" xfId="0" applyFont="1" applyFill="1" applyBorder="1"/>
    <xf numFmtId="0" fontId="39" fillId="12" borderId="1" xfId="2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 wrapText="1"/>
    </xf>
    <xf numFmtId="0" fontId="39" fillId="12" borderId="1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/>
    </xf>
    <xf numFmtId="0" fontId="39" fillId="5" borderId="1" xfId="0" applyFont="1" applyFill="1" applyBorder="1" applyAlignment="1">
      <alignment horizontal="center" vertical="center" wrapText="1"/>
    </xf>
    <xf numFmtId="0" fontId="33" fillId="12" borderId="22" xfId="0" applyFont="1" applyFill="1" applyBorder="1" applyAlignment="1">
      <alignment wrapText="1"/>
    </xf>
    <xf numFmtId="0" fontId="1" fillId="12" borderId="1" xfId="0" applyFont="1" applyFill="1" applyBorder="1" applyAlignment="1">
      <alignment vertical="center"/>
    </xf>
    <xf numFmtId="0" fontId="43" fillId="12" borderId="1" xfId="2" applyFont="1" applyFill="1" applyBorder="1" applyAlignment="1">
      <alignment horizontal="center"/>
    </xf>
    <xf numFmtId="0" fontId="33" fillId="12" borderId="1" xfId="0" applyFont="1" applyFill="1" applyBorder="1" applyAlignment="1">
      <alignment horizontal="left" vertical="center" wrapText="1"/>
    </xf>
    <xf numFmtId="0" fontId="33" fillId="12" borderId="34" xfId="0" applyFont="1" applyFill="1" applyBorder="1" applyAlignment="1">
      <alignment horizontal="center" vertical="center"/>
    </xf>
    <xf numFmtId="0" fontId="33" fillId="5" borderId="28" xfId="0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horizontal="center" vertical="center"/>
    </xf>
    <xf numFmtId="0" fontId="39" fillId="5" borderId="22" xfId="0" applyFont="1" applyFill="1" applyBorder="1" applyAlignment="1">
      <alignment horizontal="center" vertical="center"/>
    </xf>
    <xf numFmtId="0" fontId="39" fillId="5" borderId="22" xfId="2" applyFont="1" applyFill="1" applyBorder="1" applyAlignment="1">
      <alignment horizontal="center" vertical="center"/>
    </xf>
    <xf numFmtId="0" fontId="33" fillId="12" borderId="28" xfId="0" applyFont="1" applyFill="1" applyBorder="1" applyAlignment="1">
      <alignment vertical="center" wrapText="1"/>
    </xf>
    <xf numFmtId="0" fontId="43" fillId="12" borderId="22" xfId="2" applyFont="1" applyFill="1" applyBorder="1" applyAlignment="1">
      <alignment horizontal="center" wrapText="1"/>
    </xf>
    <xf numFmtId="0" fontId="33" fillId="12" borderId="22" xfId="0" applyFont="1" applyFill="1" applyBorder="1" applyAlignment="1">
      <alignment horizontal="center" wrapText="1"/>
    </xf>
    <xf numFmtId="0" fontId="33" fillId="5" borderId="22" xfId="0" applyFont="1" applyFill="1" applyBorder="1" applyAlignment="1">
      <alignment horizontal="left" vertical="center"/>
    </xf>
    <xf numFmtId="0" fontId="39" fillId="12" borderId="22" xfId="2" applyFont="1" applyFill="1" applyBorder="1" applyAlignment="1">
      <alignment horizontal="center" vertical="center"/>
    </xf>
    <xf numFmtId="0" fontId="33" fillId="5" borderId="22" xfId="0" applyFont="1" applyFill="1" applyBorder="1" applyAlignment="1">
      <alignment wrapText="1"/>
    </xf>
    <xf numFmtId="0" fontId="1" fillId="5" borderId="22" xfId="0" applyFont="1" applyFill="1" applyBorder="1" applyAlignment="1">
      <alignment vertical="center" wrapText="1"/>
    </xf>
    <xf numFmtId="0" fontId="39" fillId="5" borderId="22" xfId="2" applyFont="1" applyFill="1" applyBorder="1" applyAlignment="1">
      <alignment horizontal="center" vertical="center" wrapText="1"/>
    </xf>
    <xf numFmtId="0" fontId="43" fillId="5" borderId="22" xfId="2" applyFont="1" applyFill="1" applyBorder="1" applyAlignment="1">
      <alignment horizontal="center" vertical="center"/>
    </xf>
    <xf numFmtId="0" fontId="33" fillId="5" borderId="22" xfId="0" applyFont="1" applyFill="1" applyBorder="1" applyAlignment="1">
      <alignment vertical="center"/>
    </xf>
    <xf numFmtId="0" fontId="39" fillId="12" borderId="22" xfId="0" applyFont="1" applyFill="1" applyBorder="1" applyAlignment="1">
      <alignment horizontal="center" wrapText="1"/>
    </xf>
    <xf numFmtId="0" fontId="39" fillId="12" borderId="22" xfId="0" applyFont="1" applyFill="1" applyBorder="1" applyAlignment="1">
      <alignment horizontal="center" vertical="center" wrapText="1"/>
    </xf>
    <xf numFmtId="0" fontId="39" fillId="12" borderId="22" xfId="2" applyFont="1" applyFill="1" applyBorder="1" applyAlignment="1">
      <alignment horizontal="center" vertical="center" wrapText="1"/>
    </xf>
    <xf numFmtId="0" fontId="33" fillId="5" borderId="22" xfId="0" applyFont="1" applyFill="1" applyBorder="1" applyAlignment="1">
      <alignment horizontal="center"/>
    </xf>
    <xf numFmtId="0" fontId="39" fillId="5" borderId="22" xfId="0" applyFont="1" applyFill="1" applyBorder="1" applyAlignment="1">
      <alignment horizontal="center"/>
    </xf>
    <xf numFmtId="0" fontId="43" fillId="5" borderId="1" xfId="2" quotePrefix="1" applyFont="1" applyFill="1" applyBorder="1" applyAlignment="1">
      <alignment horizontal="center" vertical="center" wrapText="1"/>
    </xf>
    <xf numFmtId="0" fontId="33" fillId="13" borderId="22" xfId="0" applyFont="1" applyFill="1" applyBorder="1" applyAlignment="1">
      <alignment horizontal="center" vertical="center" wrapText="1"/>
    </xf>
    <xf numFmtId="0" fontId="1" fillId="12" borderId="25" xfId="0" applyFont="1" applyFill="1" applyBorder="1" applyAlignment="1">
      <alignment vertical="center"/>
    </xf>
    <xf numFmtId="0" fontId="33" fillId="12" borderId="25" xfId="0" applyFont="1" applyFill="1" applyBorder="1" applyAlignment="1">
      <alignment vertical="center" wrapText="1"/>
    </xf>
    <xf numFmtId="0" fontId="43" fillId="0" borderId="0" xfId="2" applyFont="1"/>
    <xf numFmtId="0" fontId="33" fillId="13" borderId="1" xfId="0" applyFont="1" applyFill="1" applyBorder="1" applyAlignment="1">
      <alignment horizontal="center" vertical="center" wrapText="1"/>
    </xf>
    <xf numFmtId="0" fontId="43" fillId="12" borderId="1" xfId="2" applyFont="1" applyFill="1" applyBorder="1" applyAlignment="1">
      <alignment horizontal="center" vertical="center" wrapText="1"/>
    </xf>
    <xf numFmtId="0" fontId="43" fillId="0" borderId="1" xfId="2" applyFont="1" applyBorder="1"/>
    <xf numFmtId="0" fontId="43" fillId="0" borderId="1" xfId="2" applyFont="1" applyBorder="1" applyAlignment="1">
      <alignment horizontal="center" vertical="center"/>
    </xf>
    <xf numFmtId="0" fontId="44" fillId="0" borderId="0" xfId="2" applyFont="1" applyAlignment="1">
      <alignment vertical="center"/>
    </xf>
    <xf numFmtId="0" fontId="33" fillId="5" borderId="25" xfId="0" applyFont="1" applyFill="1" applyBorder="1" applyAlignment="1">
      <alignment vertical="center" wrapText="1"/>
    </xf>
    <xf numFmtId="0" fontId="45" fillId="5" borderId="0" xfId="0" applyFont="1" applyFill="1" applyAlignment="1">
      <alignment vertical="center" wrapText="1"/>
    </xf>
    <xf numFmtId="0" fontId="9" fillId="0" borderId="27" xfId="0" applyFont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9" fillId="8" borderId="44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 wrapText="1"/>
    </xf>
    <xf numFmtId="0" fontId="20" fillId="10" borderId="45" xfId="0" applyFont="1" applyFill="1" applyBorder="1" applyAlignment="1">
      <alignment horizontal="center" vertical="center"/>
    </xf>
    <xf numFmtId="14" fontId="19" fillId="10" borderId="2" xfId="0" applyNumberFormat="1" applyFont="1" applyFill="1" applyBorder="1" applyAlignment="1">
      <alignment horizontal="center" vertical="center" wrapText="1"/>
    </xf>
    <xf numFmtId="0" fontId="17" fillId="10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44" fontId="49" fillId="6" borderId="9" xfId="1" applyFont="1" applyFill="1" applyBorder="1"/>
    <xf numFmtId="0" fontId="0" fillId="15" borderId="43" xfId="0" applyFont="1" applyFill="1" applyBorder="1" applyAlignment="1">
      <alignment horizontal="center"/>
    </xf>
    <xf numFmtId="44" fontId="0" fillId="0" borderId="7" xfId="1" applyFont="1" applyBorder="1"/>
    <xf numFmtId="44" fontId="0" fillId="16" borderId="7" xfId="1" applyFont="1" applyFill="1" applyBorder="1"/>
    <xf numFmtId="44" fontId="0" fillId="0" borderId="10" xfId="1" applyFont="1" applyBorder="1" applyAlignment="1">
      <alignment horizontal="right"/>
    </xf>
    <xf numFmtId="0" fontId="5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51" fillId="14" borderId="45" xfId="0" applyFont="1" applyFill="1" applyBorder="1" applyAlignment="1">
      <alignment horizontal="center"/>
    </xf>
    <xf numFmtId="0" fontId="51" fillId="14" borderId="30" xfId="0" applyFont="1" applyFill="1" applyBorder="1" applyAlignment="1">
      <alignment horizontal="center"/>
    </xf>
    <xf numFmtId="0" fontId="52" fillId="0" borderId="0" xfId="0" applyFont="1"/>
    <xf numFmtId="0" fontId="8" fillId="8" borderId="7" xfId="0" applyFont="1" applyFill="1" applyBorder="1" applyAlignment="1">
      <alignment horizontal="center" vertical="center"/>
    </xf>
    <xf numFmtId="0" fontId="9" fillId="9" borderId="46" xfId="0" applyFont="1" applyFill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/>
    </xf>
    <xf numFmtId="0" fontId="32" fillId="0" borderId="45" xfId="0" applyFont="1" applyBorder="1" applyAlignment="1">
      <alignment horizontal="center" vertical="center" wrapText="1"/>
    </xf>
    <xf numFmtId="0" fontId="32" fillId="12" borderId="2" xfId="0" applyFont="1" applyFill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32" fillId="12" borderId="4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0" fontId="0" fillId="0" borderId="8" xfId="0" applyBorder="1"/>
    <xf numFmtId="0" fontId="32" fillId="6" borderId="6" xfId="0" applyFont="1" applyFill="1" applyBorder="1"/>
    <xf numFmtId="0" fontId="32" fillId="6" borderId="7" xfId="0" applyFont="1" applyFill="1" applyBorder="1"/>
    <xf numFmtId="22" fontId="8" fillId="8" borderId="9" xfId="0" applyNumberFormat="1" applyFont="1" applyFill="1" applyBorder="1" applyAlignment="1">
      <alignment horizontal="left" vertical="center" indent="4"/>
    </xf>
    <xf numFmtId="0" fontId="57" fillId="6" borderId="0" xfId="0" applyFont="1" applyFill="1" applyAlignment="1">
      <alignment vertical="center"/>
    </xf>
    <xf numFmtId="0" fontId="58" fillId="0" borderId="6" xfId="0" applyFont="1" applyBorder="1" applyAlignment="1">
      <alignment vertical="center"/>
    </xf>
    <xf numFmtId="0" fontId="58" fillId="0" borderId="7" xfId="0" applyFont="1" applyBorder="1" applyAlignment="1">
      <alignment vertical="center"/>
    </xf>
    <xf numFmtId="0" fontId="55" fillId="17" borderId="36" xfId="0" applyFont="1" applyFill="1" applyBorder="1" applyAlignment="1">
      <alignment horizontal="center" vertical="center"/>
    </xf>
    <xf numFmtId="0" fontId="59" fillId="0" borderId="0" xfId="0" applyFont="1" applyAlignment="1">
      <alignment vertical="center"/>
    </xf>
    <xf numFmtId="0" fontId="60" fillId="18" borderId="32" xfId="0" applyFont="1" applyFill="1" applyBorder="1" applyAlignment="1">
      <alignment vertical="center"/>
    </xf>
    <xf numFmtId="0" fontId="60" fillId="18" borderId="49" xfId="0" applyFont="1" applyFill="1" applyBorder="1" applyAlignment="1">
      <alignment vertical="center"/>
    </xf>
    <xf numFmtId="0" fontId="60" fillId="18" borderId="42" xfId="0" applyFont="1" applyFill="1" applyBorder="1" applyAlignment="1">
      <alignment vertical="center"/>
    </xf>
    <xf numFmtId="0" fontId="60" fillId="18" borderId="43" xfId="0" applyFont="1" applyFill="1" applyBorder="1" applyAlignment="1">
      <alignment vertical="center"/>
    </xf>
    <xf numFmtId="0" fontId="57" fillId="0" borderId="27" xfId="0" applyFont="1" applyBorder="1" applyAlignment="1">
      <alignment vertical="center"/>
    </xf>
    <xf numFmtId="0" fontId="57" fillId="0" borderId="29" xfId="0" applyFont="1" applyBorder="1" applyAlignment="1">
      <alignment vertical="center"/>
    </xf>
    <xf numFmtId="2" fontId="57" fillId="0" borderId="1" xfId="0" applyNumberFormat="1" applyFont="1" applyBorder="1" applyAlignment="1">
      <alignment vertical="center"/>
    </xf>
    <xf numFmtId="2" fontId="57" fillId="0" borderId="27" xfId="0" applyNumberFormat="1" applyFont="1" applyBorder="1" applyAlignment="1">
      <alignment vertical="center"/>
    </xf>
    <xf numFmtId="0" fontId="36" fillId="19" borderId="50" xfId="0" applyFont="1" applyFill="1" applyBorder="1" applyAlignment="1">
      <alignment vertical="center"/>
    </xf>
    <xf numFmtId="0" fontId="61" fillId="19" borderId="9" xfId="0" applyFont="1" applyFill="1" applyBorder="1" applyAlignment="1">
      <alignment vertical="center"/>
    </xf>
    <xf numFmtId="0" fontId="61" fillId="0" borderId="0" xfId="0" applyFont="1" applyAlignment="1">
      <alignment vertical="center"/>
    </xf>
    <xf numFmtId="166" fontId="61" fillId="19" borderId="36" xfId="0" applyNumberFormat="1" applyFont="1" applyFill="1" applyBorder="1" applyAlignment="1">
      <alignment vertical="center"/>
    </xf>
    <xf numFmtId="0" fontId="62" fillId="0" borderId="0" xfId="0" applyFont="1" applyAlignment="1">
      <alignment vertical="center"/>
    </xf>
    <xf numFmtId="167" fontId="61" fillId="6" borderId="36" xfId="0" applyNumberFormat="1" applyFont="1" applyFill="1" applyBorder="1" applyAlignment="1">
      <alignment vertical="center"/>
    </xf>
    <xf numFmtId="0" fontId="57" fillId="0" borderId="45" xfId="0" applyFont="1" applyFill="1" applyBorder="1" applyAlignment="1">
      <alignment vertical="center"/>
    </xf>
    <xf numFmtId="0" fontId="27" fillId="0" borderId="7" xfId="0" applyFont="1" applyBorder="1" applyAlignment="1">
      <alignment horizontal="center" vertical="center" wrapText="1"/>
    </xf>
    <xf numFmtId="2" fontId="60" fillId="18" borderId="33" xfId="0" applyNumberFormat="1" applyFont="1" applyFill="1" applyBorder="1" applyAlignment="1">
      <alignment vertical="center"/>
    </xf>
    <xf numFmtId="2" fontId="60" fillId="18" borderId="52" xfId="0" applyNumberFormat="1" applyFont="1" applyFill="1" applyBorder="1" applyAlignment="1">
      <alignment vertical="center"/>
    </xf>
    <xf numFmtId="2" fontId="57" fillId="0" borderId="53" xfId="0" applyNumberFormat="1" applyFont="1" applyFill="1" applyBorder="1" applyAlignment="1">
      <alignment vertical="center"/>
    </xf>
    <xf numFmtId="0" fontId="57" fillId="0" borderId="49" xfId="0" applyFont="1" applyBorder="1" applyAlignment="1">
      <alignment vertical="center"/>
    </xf>
    <xf numFmtId="0" fontId="58" fillId="0" borderId="6" xfId="0" applyFont="1" applyBorder="1" applyAlignment="1">
      <alignment horizontal="right" vertical="center"/>
    </xf>
    <xf numFmtId="2" fontId="60" fillId="18" borderId="48" xfId="0" applyNumberFormat="1" applyFont="1" applyFill="1" applyBorder="1" applyAlignment="1">
      <alignment vertical="center"/>
    </xf>
    <xf numFmtId="167" fontId="61" fillId="6" borderId="8" xfId="0" applyNumberFormat="1" applyFont="1" applyFill="1" applyBorder="1" applyAlignment="1">
      <alignment vertical="center"/>
    </xf>
    <xf numFmtId="2" fontId="60" fillId="18" borderId="54" xfId="0" applyNumberFormat="1" applyFont="1" applyFill="1" applyBorder="1" applyAlignment="1">
      <alignment vertical="center"/>
    </xf>
    <xf numFmtId="2" fontId="64" fillId="0" borderId="30" xfId="0" applyNumberFormat="1" applyFont="1" applyFill="1" applyBorder="1" applyAlignment="1">
      <alignment vertical="center"/>
    </xf>
    <xf numFmtId="0" fontId="57" fillId="20" borderId="46" xfId="0" applyFont="1" applyFill="1" applyBorder="1" applyAlignment="1">
      <alignment vertical="center"/>
    </xf>
    <xf numFmtId="0" fontId="57" fillId="20" borderId="27" xfId="0" applyFont="1" applyFill="1" applyBorder="1" applyAlignment="1">
      <alignment vertical="center"/>
    </xf>
    <xf numFmtId="0" fontId="57" fillId="20" borderId="43" xfId="0" applyFont="1" applyFill="1" applyBorder="1" applyAlignment="1">
      <alignment vertical="center"/>
    </xf>
    <xf numFmtId="2" fontId="63" fillId="20" borderId="48" xfId="0" applyNumberFormat="1" applyFont="1" applyFill="1" applyBorder="1" applyAlignment="1">
      <alignment vertical="center"/>
    </xf>
    <xf numFmtId="1" fontId="60" fillId="18" borderId="5" xfId="0" applyNumberFormat="1" applyFont="1" applyFill="1" applyBorder="1" applyAlignment="1">
      <alignment vertical="center"/>
    </xf>
    <xf numFmtId="1" fontId="60" fillId="18" borderId="48" xfId="0" applyNumberFormat="1" applyFont="1" applyFill="1" applyBorder="1" applyAlignment="1">
      <alignment vertical="center"/>
    </xf>
    <xf numFmtId="0" fontId="0" fillId="0" borderId="1" xfId="0" applyFont="1" applyFill="1" applyBorder="1"/>
    <xf numFmtId="0" fontId="0" fillId="0" borderId="1" xfId="0" applyFill="1" applyBorder="1" applyAlignment="1">
      <alignment vertical="center"/>
    </xf>
    <xf numFmtId="0" fontId="20" fillId="10" borderId="42" xfId="0" applyFont="1" applyFill="1" applyBorder="1" applyAlignment="1">
      <alignment horizontal="center" vertical="center"/>
    </xf>
    <xf numFmtId="0" fontId="19" fillId="10" borderId="5" xfId="0" applyFont="1" applyFill="1" applyBorder="1" applyAlignment="1">
      <alignment horizontal="center" vertical="center"/>
    </xf>
    <xf numFmtId="164" fontId="19" fillId="10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2" fillId="2" borderId="0" xfId="0" quotePrefix="1" applyFont="1" applyFill="1" applyBorder="1" applyAlignment="1">
      <alignment horizontal="left" vertical="center"/>
    </xf>
    <xf numFmtId="16" fontId="20" fillId="10" borderId="2" xfId="0" applyNumberFormat="1" applyFont="1" applyFill="1" applyBorder="1" applyAlignment="1">
      <alignment horizontal="center" vertical="center"/>
    </xf>
    <xf numFmtId="0" fontId="27" fillId="0" borderId="22" xfId="0" applyFont="1" applyBorder="1" applyAlignment="1">
      <alignment horizontal="left" vertical="center" wrapText="1"/>
    </xf>
    <xf numFmtId="0" fontId="27" fillId="0" borderId="0" xfId="0" applyFont="1" applyBorder="1" applyAlignment="1">
      <alignment horizontal="left" vertical="center" wrapText="1"/>
    </xf>
    <xf numFmtId="0" fontId="37" fillId="0" borderId="22" xfId="0" applyFont="1" applyBorder="1"/>
    <xf numFmtId="0" fontId="27" fillId="0" borderId="23" xfId="0" applyFont="1" applyBorder="1" applyAlignment="1">
      <alignment horizontal="left" vertical="center"/>
    </xf>
    <xf numFmtId="0" fontId="28" fillId="0" borderId="22" xfId="0" applyFont="1" applyBorder="1" applyAlignment="1">
      <alignment horizontal="left" vertical="center"/>
    </xf>
    <xf numFmtId="0" fontId="28" fillId="0" borderId="23" xfId="0" applyFont="1" applyBorder="1" applyAlignment="1">
      <alignment horizontal="left" vertical="center"/>
    </xf>
    <xf numFmtId="0" fontId="18" fillId="7" borderId="6" xfId="0" applyFont="1" applyFill="1" applyBorder="1" applyAlignment="1">
      <alignment horizontal="center" vertical="center"/>
    </xf>
    <xf numFmtId="0" fontId="18" fillId="7" borderId="7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47" fillId="0" borderId="6" xfId="0" applyFont="1" applyFill="1" applyBorder="1" applyAlignment="1">
      <alignment horizontal="center" vertical="center"/>
    </xf>
    <xf numFmtId="0" fontId="48" fillId="0" borderId="7" xfId="0" applyFont="1" applyFill="1" applyBorder="1" applyAlignment="1">
      <alignment horizontal="center" vertical="center"/>
    </xf>
    <xf numFmtId="0" fontId="48" fillId="0" borderId="9" xfId="0" applyFont="1" applyFill="1" applyBorder="1" applyAlignment="1">
      <alignment horizontal="center" vertical="center"/>
    </xf>
    <xf numFmtId="0" fontId="23" fillId="10" borderId="6" xfId="0" applyFont="1" applyFill="1" applyBorder="1" applyAlignment="1">
      <alignment horizontal="center" vertical="center"/>
    </xf>
    <xf numFmtId="0" fontId="50" fillId="10" borderId="7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47" fillId="0" borderId="16" xfId="0" applyFont="1" applyFill="1" applyBorder="1" applyAlignment="1">
      <alignment horizontal="center" vertical="center"/>
    </xf>
    <xf numFmtId="0" fontId="47" fillId="0" borderId="3" xfId="0" applyFont="1" applyFill="1" applyBorder="1" applyAlignment="1">
      <alignment horizontal="center" vertical="center"/>
    </xf>
    <xf numFmtId="164" fontId="18" fillId="10" borderId="52" xfId="0" applyNumberFormat="1" applyFont="1" applyFill="1" applyBorder="1" applyAlignment="1">
      <alignment horizontal="left" vertical="top" wrapText="1"/>
    </xf>
    <xf numFmtId="164" fontId="18" fillId="10" borderId="55" xfId="0" applyNumberFormat="1" applyFont="1" applyFill="1" applyBorder="1" applyAlignment="1">
      <alignment horizontal="left" vertical="top" wrapText="1"/>
    </xf>
    <xf numFmtId="164" fontId="18" fillId="10" borderId="56" xfId="0" applyNumberFormat="1" applyFont="1" applyFill="1" applyBorder="1" applyAlignment="1">
      <alignment horizontal="left" vertical="top" wrapText="1"/>
    </xf>
    <xf numFmtId="0" fontId="25" fillId="0" borderId="30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7" xfId="0" applyFont="1" applyFill="1" applyBorder="1" applyAlignment="1">
      <alignment horizontal="center" vertical="center" wrapText="1"/>
    </xf>
    <xf numFmtId="0" fontId="25" fillId="0" borderId="13" xfId="0" applyFont="1" applyFill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center" vertical="center" wrapText="1"/>
    </xf>
    <xf numFmtId="0" fontId="25" fillId="0" borderId="15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164" fontId="35" fillId="10" borderId="26" xfId="0" applyNumberFormat="1" applyFont="1" applyFill="1" applyBorder="1" applyAlignment="1">
      <alignment horizontal="left" vertical="center" wrapText="1"/>
    </xf>
    <xf numFmtId="164" fontId="35" fillId="10" borderId="25" xfId="0" applyNumberFormat="1" applyFont="1" applyFill="1" applyBorder="1" applyAlignment="1">
      <alignment horizontal="left" vertical="center" wrapText="1"/>
    </xf>
    <xf numFmtId="164" fontId="35" fillId="10" borderId="47" xfId="0" applyNumberFormat="1" applyFont="1" applyFill="1" applyBorder="1" applyAlignment="1">
      <alignment horizontal="left" vertical="center" wrapText="1"/>
    </xf>
    <xf numFmtId="0" fontId="18" fillId="10" borderId="6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0" fontId="20" fillId="11" borderId="11" xfId="0" applyFont="1" applyFill="1" applyBorder="1" applyAlignment="1">
      <alignment horizontal="center" vertical="center"/>
    </xf>
    <xf numFmtId="0" fontId="20" fillId="11" borderId="12" xfId="0" applyFont="1" applyFill="1" applyBorder="1" applyAlignment="1">
      <alignment horizontal="center" vertical="center"/>
    </xf>
    <xf numFmtId="0" fontId="18" fillId="10" borderId="9" xfId="0" applyFont="1" applyFill="1" applyBorder="1" applyAlignment="1">
      <alignment horizontal="center" vertical="center"/>
    </xf>
    <xf numFmtId="0" fontId="18" fillId="10" borderId="6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4" fontId="35" fillId="10" borderId="2" xfId="0" applyNumberFormat="1" applyFont="1" applyFill="1" applyBorder="1" applyAlignment="1">
      <alignment horizontal="left" vertical="center" wrapText="1"/>
    </xf>
    <xf numFmtId="164" fontId="35" fillId="10" borderId="46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22" fillId="10" borderId="12" xfId="0" applyFont="1" applyFill="1" applyBorder="1" applyAlignment="1">
      <alignment horizontal="center" vertical="center" wrapText="1"/>
    </xf>
    <xf numFmtId="0" fontId="22" fillId="10" borderId="0" xfId="0" applyFont="1" applyFill="1" applyBorder="1" applyAlignment="1">
      <alignment horizontal="center" vertical="center" wrapText="1"/>
    </xf>
    <xf numFmtId="0" fontId="31" fillId="10" borderId="6" xfId="0" applyFont="1" applyFill="1" applyBorder="1" applyAlignment="1">
      <alignment horizontal="center" vertical="center"/>
    </xf>
    <xf numFmtId="0" fontId="31" fillId="10" borderId="7" xfId="0" applyFont="1" applyFill="1" applyBorder="1" applyAlignment="1">
      <alignment horizontal="center" vertical="center"/>
    </xf>
    <xf numFmtId="0" fontId="31" fillId="10" borderId="9" xfId="0" applyFont="1" applyFill="1" applyBorder="1" applyAlignment="1">
      <alignment horizontal="center" vertical="center"/>
    </xf>
    <xf numFmtId="0" fontId="16" fillId="7" borderId="30" xfId="0" applyFont="1" applyFill="1" applyBorder="1" applyAlignment="1">
      <alignment horizontal="center" vertical="center"/>
    </xf>
    <xf numFmtId="0" fontId="17" fillId="7" borderId="30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34" fillId="7" borderId="7" xfId="0" applyFont="1" applyFill="1" applyBorder="1" applyAlignment="1">
      <alignment horizontal="center" vertical="center"/>
    </xf>
    <xf numFmtId="0" fontId="34" fillId="7" borderId="9" xfId="0" applyFont="1" applyFill="1" applyBorder="1" applyAlignment="1">
      <alignment horizontal="center" vertical="center"/>
    </xf>
    <xf numFmtId="0" fontId="17" fillId="10" borderId="6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20" fillId="10" borderId="6" xfId="0" applyFont="1" applyFill="1" applyBorder="1" applyAlignment="1">
      <alignment horizontal="center" vertical="center"/>
    </xf>
    <xf numFmtId="0" fontId="20" fillId="10" borderId="7" xfId="0" applyFont="1" applyFill="1" applyBorder="1" applyAlignment="1">
      <alignment horizontal="center" vertical="center"/>
    </xf>
    <xf numFmtId="0" fontId="20" fillId="10" borderId="9" xfId="0" applyFont="1" applyFill="1" applyBorder="1" applyAlignment="1">
      <alignment horizontal="center" vertical="center"/>
    </xf>
    <xf numFmtId="0" fontId="19" fillId="10" borderId="6" xfId="0" applyFont="1" applyFill="1" applyBorder="1" applyAlignment="1">
      <alignment horizontal="center" vertical="center" wrapText="1"/>
    </xf>
    <xf numFmtId="0" fontId="19" fillId="10" borderId="9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46" fillId="0" borderId="15" xfId="0" applyFont="1" applyBorder="1" applyAlignment="1">
      <alignment horizontal="left" vertical="center"/>
    </xf>
    <xf numFmtId="0" fontId="46" fillId="0" borderId="10" xfId="0" applyFont="1" applyBorder="1" applyAlignment="1">
      <alignment horizontal="left" vertical="center"/>
    </xf>
    <xf numFmtId="0" fontId="12" fillId="0" borderId="29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46" fillId="0" borderId="41" xfId="0" applyFont="1" applyBorder="1" applyAlignment="1">
      <alignment horizontal="left" vertical="center"/>
    </xf>
    <xf numFmtId="0" fontId="46" fillId="0" borderId="36" xfId="0" applyFont="1" applyBorder="1" applyAlignment="1">
      <alignment horizontal="left" vertical="center"/>
    </xf>
    <xf numFmtId="0" fontId="9" fillId="9" borderId="45" xfId="0" applyFont="1" applyFill="1" applyBorder="1" applyAlignment="1">
      <alignment horizontal="center" vertical="center" wrapText="1"/>
    </xf>
    <xf numFmtId="0" fontId="9" fillId="9" borderId="2" xfId="0" applyFont="1" applyFill="1" applyBorder="1" applyAlignment="1">
      <alignment horizontal="center" vertical="center" wrapText="1"/>
    </xf>
    <xf numFmtId="0" fontId="15" fillId="6" borderId="16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14" fillId="8" borderId="15" xfId="0" applyFont="1" applyFill="1" applyBorder="1" applyAlignment="1">
      <alignment horizontal="center" vertical="center" wrapText="1"/>
    </xf>
    <xf numFmtId="0" fontId="14" fillId="8" borderId="10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/>
    </xf>
    <xf numFmtId="0" fontId="9" fillId="8" borderId="10" xfId="0" applyFont="1" applyFill="1" applyBorder="1" applyAlignment="1">
      <alignment horizontal="center" vertical="center"/>
    </xf>
    <xf numFmtId="0" fontId="13" fillId="0" borderId="42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46" fillId="0" borderId="15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49" fillId="0" borderId="6" xfId="0" applyFont="1" applyBorder="1" applyAlignment="1">
      <alignment horizontal="right" vertical="center"/>
    </xf>
    <xf numFmtId="0" fontId="49" fillId="0" borderId="7" xfId="0" applyFont="1" applyBorder="1" applyAlignment="1">
      <alignment horizontal="right" vertical="center"/>
    </xf>
    <xf numFmtId="0" fontId="32" fillId="0" borderId="11" xfId="0" applyFont="1" applyBorder="1" applyAlignment="1">
      <alignment horizontal="center"/>
    </xf>
    <xf numFmtId="0" fontId="32" fillId="0" borderId="14" xfId="0" applyFont="1" applyBorder="1" applyAlignment="1">
      <alignment horizontal="center"/>
    </xf>
    <xf numFmtId="0" fontId="32" fillId="0" borderId="17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53" fillId="6" borderId="15" xfId="0" applyFont="1" applyFill="1" applyBorder="1" applyAlignment="1">
      <alignment horizontal="center"/>
    </xf>
    <xf numFmtId="0" fontId="53" fillId="6" borderId="8" xfId="0" applyFont="1" applyFill="1" applyBorder="1" applyAlignment="1">
      <alignment horizontal="center"/>
    </xf>
    <xf numFmtId="0" fontId="36" fillId="19" borderId="6" xfId="0" applyFont="1" applyFill="1" applyBorder="1" applyAlignment="1">
      <alignment horizontal="center" vertical="center"/>
    </xf>
    <xf numFmtId="0" fontId="36" fillId="19" borderId="7" xfId="0" applyFont="1" applyFill="1" applyBorder="1" applyAlignment="1">
      <alignment horizontal="center" vertical="center"/>
    </xf>
    <xf numFmtId="0" fontId="36" fillId="19" borderId="51" xfId="0" applyFont="1" applyFill="1" applyBorder="1" applyAlignment="1">
      <alignment horizontal="center" vertical="center"/>
    </xf>
    <xf numFmtId="0" fontId="32" fillId="6" borderId="6" xfId="0" applyFont="1" applyFill="1" applyBorder="1" applyAlignment="1">
      <alignment horizontal="center" vertical="center"/>
    </xf>
    <xf numFmtId="0" fontId="32" fillId="6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4" fillId="0" borderId="17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0" borderId="7" xfId="0" applyFont="1" applyBorder="1" applyAlignment="1">
      <alignment horizontal="center"/>
    </xf>
    <xf numFmtId="0" fontId="32" fillId="0" borderId="9" xfId="0" applyFont="1" applyBorder="1" applyAlignment="1">
      <alignment horizontal="center"/>
    </xf>
    <xf numFmtId="0" fontId="27" fillId="0" borderId="7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 wrapText="1"/>
    </xf>
    <xf numFmtId="0" fontId="32" fillId="12" borderId="5" xfId="0" applyFont="1" applyFill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32" fillId="0" borderId="5" xfId="0" applyFont="1" applyBorder="1" applyAlignment="1">
      <alignment horizontal="center" vertical="center" wrapText="1"/>
    </xf>
    <xf numFmtId="0" fontId="32" fillId="12" borderId="27" xfId="0" applyFont="1" applyFill="1" applyBorder="1" applyAlignment="1">
      <alignment horizontal="center" vertical="center" wrapText="1"/>
    </xf>
    <xf numFmtId="0" fontId="32" fillId="12" borderId="43" xfId="0" applyFont="1" applyFill="1" applyBorder="1" applyAlignment="1">
      <alignment horizontal="center" vertical="center" wrapText="1"/>
    </xf>
    <xf numFmtId="0" fontId="33" fillId="5" borderId="26" xfId="0" applyFont="1" applyFill="1" applyBorder="1" applyAlignment="1">
      <alignment horizontal="center" vertical="center"/>
    </xf>
    <xf numFmtId="0" fontId="33" fillId="5" borderId="25" xfId="0" applyFont="1" applyFill="1" applyBorder="1" applyAlignment="1">
      <alignment horizontal="center" vertical="center"/>
    </xf>
    <xf numFmtId="0" fontId="33" fillId="5" borderId="28" xfId="0" applyFont="1" applyFill="1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18"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strike val="0"/>
        <outline val="0"/>
        <shadow val="0"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i val="0"/>
        <strike val="0"/>
        <outline val="0"/>
        <shadow val="0"/>
        <u/>
        <vertAlign val="baseline"/>
        <sz val="11"/>
        <color auto="1"/>
        <name val="Arial"/>
        <scheme val="none"/>
      </font>
      <fill>
        <patternFill>
          <bgColor theme="0"/>
        </patternFill>
      </fill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"/>
        <scheme val="none"/>
      </font>
      <fill>
        <patternFill>
          <bgColor theme="0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</dxf>
    <dxf>
      <border outline="0">
        <top style="thin">
          <color indexed="64"/>
        </top>
      </border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>
          <bgColor theme="0"/>
        </patternFill>
      </fill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vertAlign val="baseline"/>
        <color auto="1"/>
        <name val="Arial"/>
        <scheme val="none"/>
      </font>
      <fill>
        <patternFill patternType="none">
          <fgColor indexed="64"/>
          <bgColor theme="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2" name="Chave Direit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7303" y="107870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3" name="Chave Direi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115175" y="1443038"/>
          <a:ext cx="285750" cy="1504116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361803" y="1084491"/>
          <a:ext cx="2048897" cy="3823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10</xdr:col>
      <xdr:colOff>738866</xdr:colOff>
      <xdr:row>45</xdr:row>
      <xdr:rowOff>197306</xdr:rowOff>
    </xdr:from>
    <xdr:to>
      <xdr:col>17</xdr:col>
      <xdr:colOff>258535</xdr:colOff>
      <xdr:row>56</xdr:row>
      <xdr:rowOff>122464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746545" y="9531806"/>
          <a:ext cx="4227740" cy="217033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4000"/>
            <a:t>CXS DO CLIMATIZADO</a:t>
          </a:r>
        </a:p>
        <a:p>
          <a:r>
            <a:rPr lang="pt-BR" sz="4000"/>
            <a:t>INSERIR</a:t>
          </a:r>
          <a:r>
            <a:rPr lang="pt-BR" sz="4000" baseline="0"/>
            <a:t> OS DADOS</a:t>
          </a:r>
          <a:endParaRPr lang="pt-BR" sz="40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678473</xdr:colOff>
      <xdr:row>1</xdr:row>
      <xdr:rowOff>135260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0" y="154598"/>
          <a:ext cx="2878748" cy="171162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1</xdr:row>
      <xdr:rowOff>155332</xdr:rowOff>
    </xdr:to>
    <xdr:pic>
      <xdr:nvPicPr>
        <xdr:cNvPr id="9" name="Gráfico 8" descr="Polegar apontando para cima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9971" y="66675"/>
          <a:ext cx="277692" cy="279157"/>
        </a:xfrm>
        <a:prstGeom prst="rect">
          <a:avLst/>
        </a:prstGeom>
      </xdr:spPr>
    </xdr:pic>
    <xdr:clientData/>
  </xdr:twoCellAnchor>
  <xdr:twoCellAnchor>
    <xdr:from>
      <xdr:col>10</xdr:col>
      <xdr:colOff>5953</xdr:colOff>
      <xdr:row>5</xdr:row>
      <xdr:rowOff>11906</xdr:rowOff>
    </xdr:from>
    <xdr:to>
      <xdr:col>10</xdr:col>
      <xdr:colOff>291703</xdr:colOff>
      <xdr:row>6</xdr:row>
      <xdr:rowOff>160734</xdr:rowOff>
    </xdr:to>
    <xdr:sp macro="" textlink="">
      <xdr:nvSpPr>
        <xdr:cNvPr id="11" name="Chave Direita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997303" y="1078706"/>
          <a:ext cx="285750" cy="310753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123825</xdr:colOff>
      <xdr:row>7</xdr:row>
      <xdr:rowOff>42863</xdr:rowOff>
    </xdr:from>
    <xdr:to>
      <xdr:col>10</xdr:col>
      <xdr:colOff>409575</xdr:colOff>
      <xdr:row>129</xdr:row>
      <xdr:rowOff>5953</xdr:rowOff>
    </xdr:to>
    <xdr:sp macro="" textlink="">
      <xdr:nvSpPr>
        <xdr:cNvPr id="12" name="Chave Direita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115175" y="1443038"/>
          <a:ext cx="285750" cy="15041165"/>
        </a:xfrm>
        <a:prstGeom prst="rightBrace">
          <a:avLst/>
        </a:prstGeom>
        <a:ln w="28575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370453</xdr:colOff>
      <xdr:row>5</xdr:row>
      <xdr:rowOff>17691</xdr:rowOff>
    </xdr:from>
    <xdr:to>
      <xdr:col>13</xdr:col>
      <xdr:colOff>161925</xdr:colOff>
      <xdr:row>7</xdr:row>
      <xdr:rowOff>66675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7361803" y="1084491"/>
          <a:ext cx="2048897" cy="38235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wrap="square" rtlCol="0" anchor="t"/>
        <a:lstStyle/>
        <a:p>
          <a:r>
            <a:rPr lang="pt-BR" sz="1400"/>
            <a:t>ISOPORES DO PERECIVEL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533290</xdr:colOff>
      <xdr:row>3</xdr:row>
      <xdr:rowOff>14654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/>
            </a:ext>
          </a:extLst>
        </a:blip>
        <a:srcRect l="9410" t="33871" r="8254" b="34267"/>
        <a:stretch/>
      </xdr:blipFill>
      <xdr:spPr>
        <a:xfrm>
          <a:off x="0" y="0"/>
          <a:ext cx="2362090" cy="500429"/>
        </a:xfrm>
        <a:prstGeom prst="rect">
          <a:avLst/>
        </a:prstGeom>
      </xdr:spPr>
    </xdr:pic>
    <xdr:clientData/>
  </xdr:twoCellAnchor>
  <xdr:twoCellAnchor editAs="oneCell">
    <xdr:from>
      <xdr:col>5</xdr:col>
      <xdr:colOff>457200</xdr:colOff>
      <xdr:row>0</xdr:row>
      <xdr:rowOff>154598</xdr:rowOff>
    </xdr:from>
    <xdr:to>
      <xdr:col>9</xdr:col>
      <xdr:colOff>678473</xdr:colOff>
      <xdr:row>1</xdr:row>
      <xdr:rowOff>135260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14750" y="154598"/>
          <a:ext cx="2878748" cy="171162"/>
        </a:xfrm>
        <a:prstGeom prst="rect">
          <a:avLst/>
        </a:prstGeom>
      </xdr:spPr>
    </xdr:pic>
    <xdr:clientData/>
  </xdr:twoCellAnchor>
  <xdr:twoCellAnchor editAs="oneCell">
    <xdr:from>
      <xdr:col>9</xdr:col>
      <xdr:colOff>918796</xdr:colOff>
      <xdr:row>0</xdr:row>
      <xdr:rowOff>66675</xdr:rowOff>
    </xdr:from>
    <xdr:to>
      <xdr:col>9</xdr:col>
      <xdr:colOff>1196488</xdr:colOff>
      <xdr:row>1</xdr:row>
      <xdr:rowOff>155332</xdr:rowOff>
    </xdr:to>
    <xdr:pic>
      <xdr:nvPicPr>
        <xdr:cNvPr id="18" name="Gráfico 17" descr="Polegar apontando para cima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9971" y="66675"/>
          <a:ext cx="277692" cy="2791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238125</xdr:colOff>
          <xdr:row>21</xdr:row>
          <xdr:rowOff>0</xdr:rowOff>
        </xdr:from>
        <xdr:ext cx="1428750" cy="962025"/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45720" tIns="54864" rIns="45720" bIns="54864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zerar</a:t>
              </a:r>
            </a:p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cubagens</a:t>
              </a:r>
            </a:p>
          </xdr:txBody>
        </xdr:sp>
        <xdr:clientData fPrintsWithSheet="0"/>
      </xdr:oneCellAnchor>
    </mc:Choice>
    <mc:Fallback/>
  </mc:AlternateContent>
  <xdr:twoCellAnchor editAs="oneCell">
    <xdr:from>
      <xdr:col>10</xdr:col>
      <xdr:colOff>1028700</xdr:colOff>
      <xdr:row>7</xdr:row>
      <xdr:rowOff>0</xdr:rowOff>
    </xdr:from>
    <xdr:to>
      <xdr:col>17</xdr:col>
      <xdr:colOff>584342</xdr:colOff>
      <xdr:row>45</xdr:row>
      <xdr:rowOff>84083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20050" y="1571625"/>
          <a:ext cx="4251467" cy="76850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29685</xdr:colOff>
      <xdr:row>29</xdr:row>
      <xdr:rowOff>115095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54485" cy="5696745"/>
        </a:xfrm>
        <a:prstGeom prst="rect">
          <a:avLst/>
        </a:prstGeom>
      </xdr:spPr>
    </xdr:pic>
    <xdr:clientData/>
  </xdr:twoCellAnchor>
  <xdr:oneCellAnchor>
    <xdr:from>
      <xdr:col>9</xdr:col>
      <xdr:colOff>266700</xdr:colOff>
      <xdr:row>3</xdr:row>
      <xdr:rowOff>83635</xdr:rowOff>
    </xdr:from>
    <xdr:ext cx="1932788" cy="937629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753100" y="664660"/>
          <a:ext cx="1932788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ZMRC</a:t>
          </a:r>
        </a:p>
      </xdr:txBody>
    </xdr:sp>
    <xdr:clientData/>
  </xdr:oneCellAnchor>
  <xdr:oneCellAnchor>
    <xdr:from>
      <xdr:col>7</xdr:col>
      <xdr:colOff>514351</xdr:colOff>
      <xdr:row>20</xdr:row>
      <xdr:rowOff>57151</xdr:rowOff>
    </xdr:from>
    <xdr:ext cx="3390899" cy="561949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781551" y="3924301"/>
          <a:ext cx="3390899" cy="56194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3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MARGINAL</a:t>
          </a:r>
          <a:r>
            <a:rPr lang="pt-BR" sz="3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TIETE</a:t>
          </a:r>
          <a:endParaRPr lang="pt-BR" sz="3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1650999</xdr:colOff>
      <xdr:row>1</xdr:row>
      <xdr:rowOff>69191</xdr:rowOff>
    </xdr:from>
    <xdr:to>
      <xdr:col>7</xdr:col>
      <xdr:colOff>1701800</xdr:colOff>
      <xdr:row>10</xdr:row>
      <xdr:rowOff>892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43549" y="259691"/>
          <a:ext cx="3470276" cy="16462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FFAFA0-128E-43C4-865F-58BA6265BAAD}" name="Tabela5" displayName="Tabela5" ref="A1:C100" totalsRowShown="0" headerRowDxfId="17" headerRowBorderDxfId="16" tableBorderDxfId="15" totalsRowBorderDxfId="14">
  <autoFilter ref="A1:C100" xr:uid="{8DAA8ACD-1839-42AC-A6F0-7D82FD028506}"/>
  <sortState xmlns:xlrd2="http://schemas.microsoft.com/office/spreadsheetml/2017/richdata2" ref="A2:C100">
    <sortCondition ref="C1:C100"/>
  </sortState>
  <tableColumns count="3">
    <tableColumn id="1" xr3:uid="{97E56E86-58EC-4D94-98B4-02165F466584}" name="PLACA" dataDxfId="13"/>
    <tableColumn id="2" xr3:uid="{25735AC6-CBEF-47EE-8074-31D073760273}" name="TIPO DE VEICULO" dataDxfId="12"/>
    <tableColumn id="3" xr3:uid="{7CC6D6F2-6F63-4D68-ACF7-CC81BBD17047}" name="MOTORISTA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9682B-311A-41FC-859F-9099D2DDC97E}" name="Tabela2" displayName="Tabela2" ref="A1:D97" totalsRowShown="0">
  <autoFilter ref="A1:D97" xr:uid="{5C781D40-7379-440C-B967-1CC9447D2701}">
    <filterColumn colId="0">
      <filters>
        <filter val="SOROCABA"/>
      </filters>
    </filterColumn>
  </autoFilter>
  <sortState xmlns:xlrd2="http://schemas.microsoft.com/office/spreadsheetml/2017/richdata2" ref="A2:D73">
    <sortCondition ref="D1:D95"/>
  </sortState>
  <tableColumns count="4">
    <tableColumn id="1" xr3:uid="{9BE489E6-7925-4E38-8F54-D27B31395E9C}" name="CIDADE"/>
    <tableColumn id="2" xr3:uid="{AC01157F-68F0-4010-AFA8-FA5F829F5CEF}" name="REGIÃO"/>
    <tableColumn id="3" xr3:uid="{7C84CCDD-6EEC-4EB2-9060-AC8073739ED7}" name="UF"/>
    <tableColumn id="4" xr3:uid="{F34037F6-6ACB-412F-AD29-90C51A9CF457}" name="IATA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4EF57A-310A-4C49-B571-C88728B7A056}" name="Tabela4" displayName="Tabela4" ref="B13:H83" totalsRowShown="0" headerRowDxfId="10" dataDxfId="8" headerRowBorderDxfId="9" tableBorderDxfId="7">
  <autoFilter ref="B13:H83" xr:uid="{F7F3325A-9040-4B26-B7A7-8FCFB9A3D8A0}"/>
  <sortState xmlns:xlrd2="http://schemas.microsoft.com/office/spreadsheetml/2017/richdata2" ref="B14:H83">
    <sortCondition ref="B13:B83"/>
  </sortState>
  <tableColumns count="7">
    <tableColumn id="1" xr3:uid="{7AF8B597-2A91-4854-BD74-5C97BA29A8C3}" name="PROVEDOR / FORNECEDOR" dataDxfId="6"/>
    <tableColumn id="2" xr3:uid="{FEAE1106-AFE8-4DDC-99D0-AA248C0FA76F}" name="TELEFONE" dataDxfId="5"/>
    <tableColumn id="3" xr3:uid="{DD0EEA65-B00B-4AE2-A75B-40D60E932D7E}" name="CONTATO" dataDxfId="4"/>
    <tableColumn id="4" xr3:uid="{23D8BB5F-6EA6-4372-948A-467698F20994}" name="DESCRIÇÃO" dataDxfId="3"/>
    <tableColumn id="5" xr3:uid="{6A39A0B1-DD9D-4971-A91A-04D64B341E4A}" name="SITES" dataDxfId="2"/>
    <tableColumn id="6" xr3:uid="{F943B8E6-98BE-4DA3-ADFF-5176309D37C9}" name="EMAIL " dataDxfId="1"/>
    <tableColumn id="7" xr3:uid="{6A050520-6515-4CBB-B9FF-209849A99867}" name="SITUAÇÃO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cetsp1.cetsp.com.br/mapabasico/map.aspx?map=mian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hyperlink" Target="mailto:l80.truck.vendas@dellavia.com.br" TargetMode="External"/><Relationship Id="rId21" Type="http://schemas.openxmlformats.org/officeDocument/2006/relationships/hyperlink" Target="http://www.brilhautopneus.com.br/" TargetMode="External"/><Relationship Id="rId42" Type="http://schemas.openxmlformats.org/officeDocument/2006/relationships/hyperlink" Target="mailto:cardansdutra@gmail.com" TargetMode="External"/><Relationship Id="rId47" Type="http://schemas.openxmlformats.org/officeDocument/2006/relationships/hyperlink" Target="mailto:vendas@dieselleve.com.br" TargetMode="External"/><Relationship Id="rId63" Type="http://schemas.openxmlformats.org/officeDocument/2006/relationships/hyperlink" Target="mailto:presidente2@presidente2.com.br" TargetMode="External"/><Relationship Id="rId68" Type="http://schemas.openxmlformats.org/officeDocument/2006/relationships/hyperlink" Target="mailto:contato.dutracar@gmail.com" TargetMode="External"/><Relationship Id="rId2" Type="http://schemas.openxmlformats.org/officeDocument/2006/relationships/hyperlink" Target="mailto:juliobaterias@hotmail.com" TargetMode="External"/><Relationship Id="rId16" Type="http://schemas.openxmlformats.org/officeDocument/2006/relationships/hyperlink" Target="https://www.nsapneutec.com.br/" TargetMode="External"/><Relationship Id="rId29" Type="http://schemas.openxmlformats.org/officeDocument/2006/relationships/hyperlink" Target="mailto:financeiro@vmpe&#231;as.com.br" TargetMode="External"/><Relationship Id="rId11" Type="http://schemas.openxmlformats.org/officeDocument/2006/relationships/hyperlink" Target="mailto:vendas.anadia@cruzdemaltapneus.com.br" TargetMode="External"/><Relationship Id="rId24" Type="http://schemas.openxmlformats.org/officeDocument/2006/relationships/hyperlink" Target="mailto:bts@supersingle.com.br" TargetMode="External"/><Relationship Id="rId32" Type="http://schemas.openxmlformats.org/officeDocument/2006/relationships/hyperlink" Target="mailto:cneves@autosueceo.com.br" TargetMode="External"/><Relationship Id="rId37" Type="http://schemas.openxmlformats.org/officeDocument/2006/relationships/hyperlink" Target="mailto:kramerae@ig.com.br" TargetMode="External"/><Relationship Id="rId40" Type="http://schemas.openxmlformats.org/officeDocument/2006/relationships/hyperlink" Target="mailto:sales@perimpecas.com.br" TargetMode="External"/><Relationship Id="rId45" Type="http://schemas.openxmlformats.org/officeDocument/2006/relationships/hyperlink" Target="mailto:marcoscunha@sergipanapneus.com.br" TargetMode="External"/><Relationship Id="rId53" Type="http://schemas.openxmlformats.org/officeDocument/2006/relationships/hyperlink" Target="mailto:finocarbau@hotmail.com.br" TargetMode="External"/><Relationship Id="rId58" Type="http://schemas.openxmlformats.org/officeDocument/2006/relationships/hyperlink" Target="mailto:vendas.anadia@cruzdemaltapneus.com.br" TargetMode="External"/><Relationship Id="rId66" Type="http://schemas.openxmlformats.org/officeDocument/2006/relationships/hyperlink" Target="mailto:compras@michelino.com.br" TargetMode="External"/><Relationship Id="rId5" Type="http://schemas.openxmlformats.org/officeDocument/2006/relationships/hyperlink" Target="mailto:gestaodefrota@vtclog.com.br" TargetMode="External"/><Relationship Id="rId61" Type="http://schemas.openxmlformats.org/officeDocument/2006/relationships/hyperlink" Target="mailto:vendas@grubaterias.com.br" TargetMode="External"/><Relationship Id="rId19" Type="http://schemas.openxmlformats.org/officeDocument/2006/relationships/hyperlink" Target="http://www.gecicar.com.br/" TargetMode="External"/><Relationship Id="rId14" Type="http://schemas.openxmlformats.org/officeDocument/2006/relationships/hyperlink" Target="mailto:mvautocenter.centroautomotivo@gmail.com" TargetMode="External"/><Relationship Id="rId22" Type="http://schemas.openxmlformats.org/officeDocument/2006/relationships/hyperlink" Target="mailto:brilhanteauto@uol.com.br" TargetMode="External"/><Relationship Id="rId27" Type="http://schemas.openxmlformats.org/officeDocument/2006/relationships/hyperlink" Target="http://www.msam.com.br/" TargetMode="External"/><Relationship Id="rId30" Type="http://schemas.openxmlformats.org/officeDocument/2006/relationships/hyperlink" Target="mailto:lavarapidointermilenio@gmail.com" TargetMode="External"/><Relationship Id="rId35" Type="http://schemas.openxmlformats.org/officeDocument/2006/relationships/hyperlink" Target="mailto:luanacontato@amplacar.net.br" TargetMode="External"/><Relationship Id="rId43" Type="http://schemas.openxmlformats.org/officeDocument/2006/relationships/hyperlink" Target="mailto:alan@mercetruck.com.br" TargetMode="External"/><Relationship Id="rId48" Type="http://schemas.openxmlformats.org/officeDocument/2006/relationships/hyperlink" Target="mailto:cardanssaopaulo@bol.com.br" TargetMode="External"/><Relationship Id="rId56" Type="http://schemas.openxmlformats.org/officeDocument/2006/relationships/hyperlink" Target="mailto:rogeriotexas@hotmail.com" TargetMode="External"/><Relationship Id="rId64" Type="http://schemas.openxmlformats.org/officeDocument/2006/relationships/hyperlink" Target="mailto:lojajeanpecas@gmail.com" TargetMode="External"/><Relationship Id="rId69" Type="http://schemas.openxmlformats.org/officeDocument/2006/relationships/hyperlink" Target="mailto:ATENDIMENTO@TITANDIESEL.COM.BR" TargetMode="External"/><Relationship Id="rId8" Type="http://schemas.openxmlformats.org/officeDocument/2006/relationships/hyperlink" Target="mailto:aureo.reidooleo@uol.com.br" TargetMode="External"/><Relationship Id="rId51" Type="http://schemas.openxmlformats.org/officeDocument/2006/relationships/hyperlink" Target="mailto:bia.baus@terra.com.br" TargetMode="External"/><Relationship Id="rId72" Type="http://schemas.openxmlformats.org/officeDocument/2006/relationships/drawing" Target="../drawings/drawing3.xml"/><Relationship Id="rId3" Type="http://schemas.openxmlformats.org/officeDocument/2006/relationships/hyperlink" Target="mailto:erandrade@rodobens.com.br" TargetMode="External"/><Relationship Id="rId12" Type="http://schemas.openxmlformats.org/officeDocument/2006/relationships/hyperlink" Target="mailto:nevicar@nevicarbosch.com.br" TargetMode="External"/><Relationship Id="rId17" Type="http://schemas.openxmlformats.org/officeDocument/2006/relationships/hyperlink" Target="mailto:leoberpj@yahoo.com.br" TargetMode="External"/><Relationship Id="rId25" Type="http://schemas.openxmlformats.org/officeDocument/2006/relationships/hyperlink" Target="http://www.dellavia.com.br/" TargetMode="External"/><Relationship Id="rId33" Type="http://schemas.openxmlformats.org/officeDocument/2006/relationships/hyperlink" Target="mailto:comercial@cumbicatacografos.com.br" TargetMode="External"/><Relationship Id="rId38" Type="http://schemas.openxmlformats.org/officeDocument/2006/relationships/hyperlink" Target="http://www.eletropar.net/WebSite/index.php" TargetMode="External"/><Relationship Id="rId46" Type="http://schemas.openxmlformats.org/officeDocument/2006/relationships/hyperlink" Target="http://www.arportoclean.com.br/" TargetMode="External"/><Relationship Id="rId59" Type="http://schemas.openxmlformats.org/officeDocument/2006/relationships/hyperlink" Target="mailto:edja.franca@dpaschoal.com.br" TargetMode="External"/><Relationship Id="rId67" Type="http://schemas.openxmlformats.org/officeDocument/2006/relationships/hyperlink" Target="mailto:bruno.261@hotmail.com" TargetMode="External"/><Relationship Id="rId20" Type="http://schemas.openxmlformats.org/officeDocument/2006/relationships/hyperlink" Target="mailto:gecicar@ig.com.br" TargetMode="External"/><Relationship Id="rId41" Type="http://schemas.openxmlformats.org/officeDocument/2006/relationships/hyperlink" Target="http://www.cardansdutra.com.br/" TargetMode="External"/><Relationship Id="rId54" Type="http://schemas.openxmlformats.org/officeDocument/2006/relationships/hyperlink" Target="mailto:fernando@truckfort.com.br" TargetMode="External"/><Relationship Id="rId62" Type="http://schemas.openxmlformats.org/officeDocument/2006/relationships/hyperlink" Target="mailto:LOJA278GUA@dpaschoal.com.br" TargetMode="External"/><Relationship Id="rId70" Type="http://schemas.openxmlformats.org/officeDocument/2006/relationships/hyperlink" Target="mailto:vendas@revestfibra.com.br" TargetMode="External"/><Relationship Id="rId1" Type="http://schemas.openxmlformats.org/officeDocument/2006/relationships/hyperlink" Target="mailto:lc.lavarapidoeguinchos@gmail.com" TargetMode="External"/><Relationship Id="rId6" Type="http://schemas.openxmlformats.org/officeDocument/2006/relationships/hyperlink" Target="mailto:cleriston.sousa@vtclog.com.br" TargetMode="External"/><Relationship Id="rId15" Type="http://schemas.openxmlformats.org/officeDocument/2006/relationships/hyperlink" Target="mailto:lima.vendas@nsapneutec.com.br" TargetMode="External"/><Relationship Id="rId23" Type="http://schemas.openxmlformats.org/officeDocument/2006/relationships/hyperlink" Target="http://www.supersingle.com.br/" TargetMode="External"/><Relationship Id="rId28" Type="http://schemas.openxmlformats.org/officeDocument/2006/relationships/hyperlink" Target="mailto:patricio.silva@msam.com.br" TargetMode="External"/><Relationship Id="rId36" Type="http://schemas.openxmlformats.org/officeDocument/2006/relationships/hyperlink" Target="mailto:expressprestadora@hotmail.com" TargetMode="External"/><Relationship Id="rId49" Type="http://schemas.openxmlformats.org/officeDocument/2006/relationships/hyperlink" Target="mailto:ricardo@furcar.com.br" TargetMode="External"/><Relationship Id="rId57" Type="http://schemas.openxmlformats.org/officeDocument/2006/relationships/hyperlink" Target="mailto:pesadoesacessorios@ig.com.br" TargetMode="External"/><Relationship Id="rId10" Type="http://schemas.openxmlformats.org/officeDocument/2006/relationships/hyperlink" Target="https://www.anchietapecas.com.br/" TargetMode="External"/><Relationship Id="rId31" Type="http://schemas.openxmlformats.org/officeDocument/2006/relationships/hyperlink" Target="mailto:brutus.autolavagen@gmail.com" TargetMode="External"/><Relationship Id="rId44" Type="http://schemas.openxmlformats.org/officeDocument/2006/relationships/hyperlink" Target="http://www.mercetruck.com.br/" TargetMode="External"/><Relationship Id="rId52" Type="http://schemas.openxmlformats.org/officeDocument/2006/relationships/hyperlink" Target="mailto:alongartsp@gmail.com" TargetMode="External"/><Relationship Id="rId60" Type="http://schemas.openxmlformats.org/officeDocument/2006/relationships/hyperlink" Target="mailto:cobranca@cruzdemaltapneus.com.br" TargetMode="External"/><Relationship Id="rId65" Type="http://schemas.openxmlformats.org/officeDocument/2006/relationships/hyperlink" Target="mailto:rafael@platobus.com.br" TargetMode="External"/><Relationship Id="rId73" Type="http://schemas.openxmlformats.org/officeDocument/2006/relationships/table" Target="../tables/table3.xml"/><Relationship Id="rId4" Type="http://schemas.openxmlformats.org/officeDocument/2006/relationships/hyperlink" Target="mailto:hvg.autoeletrico@gmail.com" TargetMode="External"/><Relationship Id="rId9" Type="http://schemas.openxmlformats.org/officeDocument/2006/relationships/hyperlink" Target="mailto:carloscesar@divepesp.com.br" TargetMode="External"/><Relationship Id="rId13" Type="http://schemas.openxmlformats.org/officeDocument/2006/relationships/hyperlink" Target="mailto:abcautovidros@ig.com.br" TargetMode="External"/><Relationship Id="rId18" Type="http://schemas.openxmlformats.org/officeDocument/2006/relationships/hyperlink" Target="mailto:leopoldiesel.adm@gmail.com" TargetMode="External"/><Relationship Id="rId39" Type="http://schemas.openxmlformats.org/officeDocument/2006/relationships/hyperlink" Target="http://www.perimpecas.com.br/" TargetMode="External"/><Relationship Id="rId34" Type="http://schemas.openxmlformats.org/officeDocument/2006/relationships/hyperlink" Target="mailto:mecanican_eixos@hotmail.com" TargetMode="External"/><Relationship Id="rId50" Type="http://schemas.openxmlformats.org/officeDocument/2006/relationships/hyperlink" Target="mailto:projetos@4truck.com.br" TargetMode="External"/><Relationship Id="rId55" Type="http://schemas.openxmlformats.org/officeDocument/2006/relationships/hyperlink" Target="mailto:vendas@vianovaplast.com.br" TargetMode="External"/><Relationship Id="rId7" Type="http://schemas.openxmlformats.org/officeDocument/2006/relationships/hyperlink" Target="mailto:nildohvg@terra.com.br" TargetMode="External"/><Relationship Id="rId71" Type="http://schemas.openxmlformats.org/officeDocument/2006/relationships/hyperlink" Target="tel:%20+55%2011%202409-564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-0.249977111117893"/>
  </sheetPr>
  <dimension ref="A1:V40"/>
  <sheetViews>
    <sheetView zoomScaleNormal="100" zoomScaleSheetLayoutView="100" workbookViewId="0">
      <selection activeCell="C18" sqref="C18"/>
    </sheetView>
  </sheetViews>
  <sheetFormatPr defaultColWidth="9" defaultRowHeight="15" x14ac:dyDescent="0.25"/>
  <cols>
    <col min="2" max="2" width="15.5703125" customWidth="1"/>
    <col min="3" max="3" width="27.7109375" customWidth="1"/>
    <col min="4" max="4" width="32.7109375" customWidth="1"/>
    <col min="5" max="5" width="8.5703125" customWidth="1"/>
    <col min="7" max="7" width="18.85546875" customWidth="1"/>
    <col min="8" max="8" width="20.28515625" customWidth="1"/>
    <col min="9" max="9" width="18.42578125" customWidth="1"/>
    <col min="10" max="10" width="36.85546875" customWidth="1"/>
  </cols>
  <sheetData>
    <row r="1" spans="1:22" x14ac:dyDescent="0.25">
      <c r="A1" s="317"/>
      <c r="B1" s="317"/>
      <c r="C1" s="317"/>
      <c r="D1" s="317"/>
      <c r="E1" s="317"/>
      <c r="F1" s="317"/>
      <c r="G1" s="317"/>
      <c r="H1" s="317"/>
      <c r="I1" s="317"/>
      <c r="J1" s="317"/>
      <c r="K1" s="317" t="s">
        <v>9</v>
      </c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</row>
    <row r="2" spans="1:22" ht="15.75" thickBot="1" x14ac:dyDescent="0.3">
      <c r="A2" s="317"/>
      <c r="B2" s="318"/>
      <c r="C2" s="318"/>
      <c r="D2" s="318"/>
      <c r="E2" s="318"/>
      <c r="F2" s="318"/>
      <c r="G2" s="318"/>
      <c r="H2" s="318"/>
      <c r="I2" s="318"/>
      <c r="J2" s="318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V2" s="317"/>
    </row>
    <row r="3" spans="1:22" ht="18.75" thickBot="1" x14ac:dyDescent="0.3">
      <c r="A3" s="317"/>
      <c r="B3" s="324" t="s">
        <v>1006</v>
      </c>
      <c r="C3" s="324"/>
      <c r="D3" s="324"/>
      <c r="E3" s="324"/>
      <c r="F3" s="324"/>
      <c r="G3" s="325" t="s">
        <v>0</v>
      </c>
      <c r="H3" s="325"/>
      <c r="I3" s="325"/>
      <c r="J3" s="47" t="s">
        <v>1035</v>
      </c>
      <c r="K3" s="317"/>
      <c r="L3" s="317"/>
      <c r="M3" s="317"/>
      <c r="N3" s="317"/>
      <c r="O3" s="317"/>
      <c r="P3" s="317"/>
      <c r="Q3" s="317"/>
      <c r="R3" s="317"/>
      <c r="S3" s="317"/>
      <c r="T3" s="317"/>
      <c r="U3" s="317"/>
      <c r="V3" s="317"/>
    </row>
    <row r="4" spans="1:22" ht="21" thickBot="1" x14ac:dyDescent="0.3">
      <c r="A4" s="317"/>
      <c r="B4" s="326" t="s">
        <v>2</v>
      </c>
      <c r="C4" s="327"/>
      <c r="D4" s="327"/>
      <c r="E4" s="327"/>
      <c r="F4" s="327"/>
      <c r="G4" s="327"/>
      <c r="H4" s="327"/>
      <c r="I4" s="327"/>
      <c r="J4" s="328"/>
      <c r="K4" s="317"/>
      <c r="L4" s="317"/>
      <c r="M4" s="317"/>
      <c r="N4" s="317"/>
      <c r="O4" s="317"/>
      <c r="P4" s="317"/>
      <c r="Q4" s="317"/>
      <c r="R4" s="317"/>
      <c r="S4" s="317"/>
      <c r="T4" s="317"/>
      <c r="U4" s="317"/>
      <c r="V4" s="317"/>
    </row>
    <row r="5" spans="1:22" ht="20.25" thickBot="1" x14ac:dyDescent="0.3">
      <c r="A5" s="317"/>
      <c r="B5" s="321" t="s">
        <v>1034</v>
      </c>
      <c r="C5" s="322"/>
      <c r="D5" s="322"/>
      <c r="E5" s="322"/>
      <c r="F5" s="322"/>
      <c r="G5" s="322"/>
      <c r="H5" s="322"/>
      <c r="I5" s="322"/>
      <c r="J5" s="323"/>
      <c r="K5" s="317"/>
      <c r="L5" s="317"/>
      <c r="M5" s="317"/>
      <c r="N5" s="317"/>
      <c r="O5" s="317"/>
      <c r="P5" s="317"/>
      <c r="Q5" s="317"/>
      <c r="R5" s="317"/>
      <c r="S5" s="317"/>
      <c r="T5" s="317"/>
      <c r="U5" s="317"/>
      <c r="V5" s="317"/>
    </row>
    <row r="6" spans="1:22" ht="16.5" thickBot="1" x14ac:dyDescent="0.3">
      <c r="A6" s="317"/>
      <c r="B6" s="279" t="s">
        <v>307</v>
      </c>
      <c r="C6" s="280"/>
      <c r="D6" s="280"/>
      <c r="E6" s="280"/>
      <c r="F6" s="280"/>
      <c r="G6" s="280"/>
      <c r="H6" s="280"/>
      <c r="I6" s="281"/>
      <c r="J6" s="22" t="s">
        <v>316</v>
      </c>
      <c r="K6" s="317"/>
      <c r="L6" s="317"/>
      <c r="M6" s="317"/>
      <c r="N6" s="317"/>
      <c r="O6" s="317"/>
      <c r="P6" s="317"/>
      <c r="Q6" s="317"/>
      <c r="R6" s="317"/>
      <c r="S6" s="317"/>
      <c r="T6" s="317"/>
      <c r="U6" s="317"/>
      <c r="V6" s="317"/>
    </row>
    <row r="7" spans="1:22" ht="21.95" customHeight="1" thickBot="1" x14ac:dyDescent="0.3">
      <c r="A7" s="317"/>
      <c r="B7" s="282" t="s">
        <v>270</v>
      </c>
      <c r="C7" s="283"/>
      <c r="D7" s="283"/>
      <c r="E7" s="283"/>
      <c r="F7" s="283"/>
      <c r="G7" s="283"/>
      <c r="H7" s="283"/>
      <c r="I7" s="284"/>
      <c r="J7" s="290" t="s">
        <v>91</v>
      </c>
      <c r="K7" s="317"/>
      <c r="L7" s="317"/>
      <c r="M7" s="317"/>
      <c r="N7" s="317"/>
      <c r="O7" s="317"/>
      <c r="P7" s="317"/>
      <c r="Q7" s="317"/>
      <c r="R7" s="317"/>
      <c r="S7" s="317"/>
      <c r="T7" s="317"/>
      <c r="U7" s="317"/>
      <c r="V7" s="317"/>
    </row>
    <row r="8" spans="1:22" ht="16.5" thickBot="1" x14ac:dyDescent="0.3">
      <c r="A8" s="317"/>
      <c r="B8" s="279" t="s">
        <v>312</v>
      </c>
      <c r="C8" s="280"/>
      <c r="D8" s="280"/>
      <c r="E8" s="280"/>
      <c r="F8" s="280"/>
      <c r="G8" s="280"/>
      <c r="H8" s="280"/>
      <c r="I8" s="281"/>
      <c r="J8" s="291"/>
      <c r="K8" s="317"/>
      <c r="L8" s="317"/>
      <c r="M8" s="317"/>
      <c r="N8" s="317"/>
      <c r="O8" s="317"/>
      <c r="P8" s="317"/>
      <c r="Q8" s="317"/>
      <c r="R8" s="317"/>
      <c r="S8" s="317"/>
      <c r="T8" s="317"/>
      <c r="U8" s="317"/>
      <c r="V8" s="317"/>
    </row>
    <row r="9" spans="1:22" ht="18.75" thickBot="1" x14ac:dyDescent="0.3">
      <c r="A9" s="317"/>
      <c r="B9" s="285"/>
      <c r="C9" s="286"/>
      <c r="D9" s="286"/>
      <c r="E9" s="286"/>
      <c r="F9" s="286"/>
      <c r="G9" s="286"/>
      <c r="H9" s="286"/>
      <c r="I9" s="286"/>
      <c r="J9" s="202"/>
      <c r="K9" s="317"/>
      <c r="L9" s="317"/>
      <c r="M9" s="317"/>
      <c r="N9" s="317"/>
      <c r="O9" s="317"/>
      <c r="P9" s="317"/>
      <c r="Q9" s="317"/>
      <c r="R9" s="317"/>
      <c r="S9" s="317"/>
      <c r="T9" s="317"/>
      <c r="U9" s="317"/>
      <c r="V9" s="317"/>
    </row>
    <row r="10" spans="1:22" ht="15.75" thickBot="1" x14ac:dyDescent="0.3">
      <c r="A10" s="317"/>
      <c r="B10" s="287"/>
      <c r="C10" s="288"/>
      <c r="D10" s="288"/>
      <c r="E10" s="288"/>
      <c r="F10" s="288"/>
      <c r="G10" s="288"/>
      <c r="H10" s="288"/>
      <c r="I10" s="288"/>
      <c r="J10" s="289"/>
      <c r="K10" s="317"/>
      <c r="L10" s="317"/>
      <c r="M10" s="317"/>
      <c r="N10" s="317"/>
      <c r="O10" s="317"/>
      <c r="P10" s="317"/>
      <c r="Q10" s="317"/>
      <c r="R10" s="317"/>
      <c r="S10" s="317"/>
      <c r="T10" s="317"/>
      <c r="U10" s="317"/>
      <c r="V10" s="317"/>
    </row>
    <row r="11" spans="1:22" ht="18.75" customHeight="1" thickBot="1" x14ac:dyDescent="0.3">
      <c r="A11" s="317"/>
      <c r="B11" s="306" t="s">
        <v>5</v>
      </c>
      <c r="C11" s="307"/>
      <c r="D11" s="310"/>
      <c r="E11" s="201" t="str">
        <f>'VALOR DA CARGA'!N43</f>
        <v>T5</v>
      </c>
      <c r="F11" s="311" t="s">
        <v>7</v>
      </c>
      <c r="G11" s="312"/>
      <c r="H11" s="19" t="s">
        <v>11</v>
      </c>
      <c r="I11" s="295" t="s">
        <v>314</v>
      </c>
      <c r="J11" s="295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</row>
    <row r="12" spans="1:22" ht="16.5" thickBot="1" x14ac:dyDescent="0.3">
      <c r="A12" s="317"/>
      <c r="B12" s="333"/>
      <c r="C12" s="334"/>
      <c r="D12" s="334"/>
      <c r="E12" s="335"/>
      <c r="F12" s="336" t="s">
        <v>10</v>
      </c>
      <c r="G12" s="337"/>
      <c r="H12" s="19" t="s">
        <v>11</v>
      </c>
      <c r="I12" s="296" t="s">
        <v>1041</v>
      </c>
      <c r="J12" s="297"/>
      <c r="K12" s="317"/>
      <c r="L12" s="317"/>
      <c r="M12" s="317"/>
      <c r="N12" s="317"/>
      <c r="O12" s="317"/>
      <c r="P12" s="317"/>
      <c r="Q12" s="317"/>
      <c r="R12" s="317"/>
      <c r="S12" s="317"/>
      <c r="T12" s="317"/>
      <c r="U12" s="317"/>
      <c r="V12" s="317"/>
    </row>
    <row r="13" spans="1:22" ht="16.5" customHeight="1" thickBot="1" x14ac:dyDescent="0.3">
      <c r="A13" s="317"/>
      <c r="B13" s="20" t="s">
        <v>1004</v>
      </c>
      <c r="C13" s="202" t="s">
        <v>311</v>
      </c>
      <c r="D13" s="202" t="s">
        <v>315</v>
      </c>
      <c r="E13" s="306" t="s">
        <v>13</v>
      </c>
      <c r="F13" s="307"/>
      <c r="G13" s="307"/>
      <c r="H13" s="307"/>
      <c r="I13" s="298"/>
      <c r="J13" s="299"/>
      <c r="K13" s="317"/>
      <c r="L13" s="317"/>
      <c r="M13" s="317"/>
      <c r="N13" s="317"/>
      <c r="O13" s="317"/>
      <c r="P13" s="317"/>
      <c r="Q13" s="317"/>
      <c r="R13" s="317"/>
      <c r="S13" s="317"/>
      <c r="T13" s="317"/>
      <c r="U13" s="317"/>
      <c r="V13" s="317"/>
    </row>
    <row r="14" spans="1:22" ht="5.25" customHeight="1" thickBot="1" x14ac:dyDescent="0.3">
      <c r="A14" s="317"/>
      <c r="B14" s="308"/>
      <c r="C14" s="309"/>
      <c r="D14" s="309"/>
      <c r="E14" s="309"/>
      <c r="F14" s="309"/>
      <c r="G14" s="309"/>
      <c r="H14" s="309"/>
      <c r="I14" s="298"/>
      <c r="J14" s="299"/>
      <c r="K14" s="317"/>
      <c r="L14" s="317"/>
      <c r="M14" s="317"/>
      <c r="N14" s="317"/>
      <c r="O14" s="317"/>
      <c r="P14" s="317"/>
      <c r="Q14" s="317"/>
      <c r="R14" s="317"/>
      <c r="S14" s="317"/>
      <c r="T14" s="317"/>
      <c r="U14" s="317"/>
      <c r="V14" s="317"/>
    </row>
    <row r="15" spans="1:22" ht="70.5" customHeight="1" x14ac:dyDescent="0.25">
      <c r="A15" s="317"/>
      <c r="B15" s="199">
        <v>1</v>
      </c>
      <c r="C15" s="272" t="s">
        <v>1036</v>
      </c>
      <c r="D15" s="200">
        <v>44207</v>
      </c>
      <c r="E15" s="315" t="s">
        <v>1037</v>
      </c>
      <c r="F15" s="315"/>
      <c r="G15" s="315"/>
      <c r="H15" s="316"/>
      <c r="I15" s="300"/>
      <c r="J15" s="299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</row>
    <row r="16" spans="1:22" ht="45" customHeight="1" x14ac:dyDescent="0.25">
      <c r="A16" s="317"/>
      <c r="B16" s="63">
        <v>2</v>
      </c>
      <c r="C16" s="42" t="s">
        <v>1036</v>
      </c>
      <c r="D16" s="60">
        <v>44208</v>
      </c>
      <c r="E16" s="303" t="s">
        <v>1038</v>
      </c>
      <c r="F16" s="304"/>
      <c r="G16" s="304"/>
      <c r="H16" s="305"/>
      <c r="I16" s="300"/>
      <c r="J16" s="299"/>
      <c r="K16" s="317"/>
      <c r="L16" s="317"/>
      <c r="M16" s="317"/>
      <c r="N16" s="317"/>
      <c r="O16" s="317"/>
      <c r="P16" s="317"/>
      <c r="Q16" s="317"/>
      <c r="R16" s="317"/>
      <c r="S16" s="317"/>
      <c r="T16" s="317"/>
      <c r="U16" s="317"/>
      <c r="V16" s="317"/>
    </row>
    <row r="17" spans="1:22" ht="45" customHeight="1" x14ac:dyDescent="0.25">
      <c r="A17" s="317"/>
      <c r="B17" s="63">
        <v>3</v>
      </c>
      <c r="C17" s="61" t="s">
        <v>1036</v>
      </c>
      <c r="D17" s="60">
        <v>44209</v>
      </c>
      <c r="E17" s="303" t="s">
        <v>1039</v>
      </c>
      <c r="F17" s="304"/>
      <c r="G17" s="304"/>
      <c r="H17" s="305"/>
      <c r="I17" s="300"/>
      <c r="J17" s="299"/>
      <c r="K17" s="317"/>
      <c r="L17" s="317"/>
      <c r="M17" s="317"/>
      <c r="N17" s="317"/>
      <c r="O17" s="317"/>
      <c r="P17" s="317"/>
      <c r="Q17" s="317"/>
      <c r="R17" s="317"/>
      <c r="S17" s="317"/>
      <c r="T17" s="317"/>
      <c r="U17" s="317"/>
      <c r="V17" s="317"/>
    </row>
    <row r="18" spans="1:22" ht="45" customHeight="1" x14ac:dyDescent="0.25">
      <c r="A18" s="317"/>
      <c r="B18" s="63">
        <v>4</v>
      </c>
      <c r="C18" s="42" t="s">
        <v>1036</v>
      </c>
      <c r="D18" s="60">
        <v>44211</v>
      </c>
      <c r="E18" s="303" t="s">
        <v>1040</v>
      </c>
      <c r="F18" s="304"/>
      <c r="G18" s="304"/>
      <c r="H18" s="305"/>
      <c r="I18" s="300"/>
      <c r="J18" s="299"/>
      <c r="K18" s="317"/>
      <c r="L18" s="317"/>
      <c r="M18" s="317"/>
      <c r="N18" s="317"/>
      <c r="O18" s="317"/>
      <c r="P18" s="317"/>
      <c r="Q18" s="317"/>
      <c r="R18" s="317"/>
      <c r="S18" s="317"/>
      <c r="T18" s="317"/>
      <c r="U18" s="317"/>
      <c r="V18" s="317"/>
    </row>
    <row r="19" spans="1:22" ht="45" hidden="1" customHeight="1" x14ac:dyDescent="0.25">
      <c r="A19" s="317"/>
      <c r="B19" s="63"/>
      <c r="C19" s="61"/>
      <c r="D19" s="60"/>
      <c r="E19" s="303"/>
      <c r="F19" s="304"/>
      <c r="G19" s="304"/>
      <c r="H19" s="305"/>
      <c r="I19" s="300"/>
      <c r="J19" s="299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17"/>
      <c r="V19" s="317"/>
    </row>
    <row r="20" spans="1:22" ht="45" hidden="1" customHeight="1" x14ac:dyDescent="0.25">
      <c r="A20" s="317"/>
      <c r="B20" s="63"/>
      <c r="C20" s="61"/>
      <c r="D20" s="60"/>
      <c r="E20" s="303"/>
      <c r="F20" s="304"/>
      <c r="G20" s="304"/>
      <c r="H20" s="305"/>
      <c r="I20" s="300"/>
      <c r="J20" s="299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7"/>
      <c r="V20" s="317"/>
    </row>
    <row r="21" spans="1:22" ht="45" hidden="1" customHeight="1" x14ac:dyDescent="0.25">
      <c r="A21" s="317"/>
      <c r="B21" s="63"/>
      <c r="C21" s="42"/>
      <c r="D21" s="60"/>
      <c r="E21" s="303"/>
      <c r="F21" s="304"/>
      <c r="G21" s="304"/>
      <c r="H21" s="305"/>
      <c r="I21" s="300"/>
      <c r="J21" s="299"/>
      <c r="K21" s="317"/>
      <c r="L21" s="317"/>
      <c r="M21" s="317"/>
      <c r="N21" s="317"/>
      <c r="O21" s="317"/>
      <c r="P21" s="317"/>
      <c r="Q21" s="317"/>
      <c r="R21" s="317"/>
      <c r="S21" s="317"/>
      <c r="T21" s="317"/>
      <c r="U21" s="317"/>
      <c r="V21" s="317"/>
    </row>
    <row r="22" spans="1:22" ht="45" hidden="1" customHeight="1" x14ac:dyDescent="0.25">
      <c r="A22" s="317"/>
      <c r="B22" s="63"/>
      <c r="C22" s="43"/>
      <c r="D22" s="62"/>
      <c r="E22" s="303"/>
      <c r="F22" s="304"/>
      <c r="G22" s="304"/>
      <c r="H22" s="305"/>
      <c r="I22" s="300"/>
      <c r="J22" s="299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  <c r="V22" s="317"/>
    </row>
    <row r="23" spans="1:22" ht="45" hidden="1" customHeight="1" x14ac:dyDescent="0.25">
      <c r="A23" s="317"/>
      <c r="B23" s="63"/>
      <c r="C23" s="43"/>
      <c r="D23" s="62"/>
      <c r="E23" s="303"/>
      <c r="F23" s="304"/>
      <c r="G23" s="304"/>
      <c r="H23" s="305"/>
      <c r="I23" s="300"/>
      <c r="J23" s="299"/>
      <c r="K23" s="317"/>
      <c r="L23" s="317"/>
      <c r="M23" s="317"/>
      <c r="N23" s="317"/>
      <c r="O23" s="317"/>
      <c r="P23" s="317"/>
      <c r="Q23" s="317"/>
      <c r="R23" s="317"/>
      <c r="S23" s="317"/>
      <c r="T23" s="317"/>
      <c r="U23" s="317"/>
      <c r="V23" s="317"/>
    </row>
    <row r="24" spans="1:22" ht="45" hidden="1" customHeight="1" thickBot="1" x14ac:dyDescent="0.3">
      <c r="A24" s="317"/>
      <c r="B24" s="267"/>
      <c r="C24" s="268"/>
      <c r="D24" s="269"/>
      <c r="E24" s="292"/>
      <c r="F24" s="293"/>
      <c r="G24" s="293"/>
      <c r="H24" s="294"/>
      <c r="I24" s="300"/>
      <c r="J24" s="299"/>
      <c r="K24" s="317"/>
      <c r="L24" s="317"/>
      <c r="M24" s="317"/>
      <c r="N24" s="317"/>
      <c r="O24" s="317"/>
      <c r="P24" s="317"/>
      <c r="Q24" s="317"/>
      <c r="R24" s="317"/>
      <c r="S24" s="317"/>
      <c r="T24" s="317"/>
      <c r="U24" s="317"/>
      <c r="V24" s="317"/>
    </row>
    <row r="25" spans="1:22" ht="16.5" thickBot="1" x14ac:dyDescent="0.3">
      <c r="A25" s="317"/>
      <c r="B25" s="21"/>
      <c r="C25" s="313" t="s">
        <v>258</v>
      </c>
      <c r="D25" s="313"/>
      <c r="E25" s="313"/>
      <c r="F25" s="313"/>
      <c r="G25" s="313"/>
      <c r="H25" s="314"/>
      <c r="I25" s="300"/>
      <c r="J25" s="299"/>
      <c r="K25" s="317"/>
      <c r="L25" s="317"/>
      <c r="M25" s="317"/>
      <c r="N25" s="317"/>
      <c r="O25" s="317"/>
      <c r="P25" s="317"/>
      <c r="Q25" s="317"/>
      <c r="R25" s="317"/>
      <c r="S25" s="317"/>
      <c r="T25" s="317"/>
      <c r="U25" s="317"/>
      <c r="V25" s="317"/>
    </row>
    <row r="26" spans="1:22" ht="16.5" thickBot="1" x14ac:dyDescent="0.3">
      <c r="A26" s="317"/>
      <c r="B26" s="21"/>
      <c r="C26" s="338"/>
      <c r="D26" s="338"/>
      <c r="E26" s="338"/>
      <c r="F26" s="338"/>
      <c r="G26" s="338"/>
      <c r="H26" s="339"/>
      <c r="I26" s="301"/>
      <c r="J26" s="302"/>
      <c r="K26" s="317"/>
      <c r="L26" s="317"/>
      <c r="M26" s="317"/>
      <c r="N26" s="317"/>
      <c r="O26" s="317"/>
      <c r="P26" s="317"/>
      <c r="Q26" s="317"/>
      <c r="R26" s="317"/>
      <c r="S26" s="317"/>
      <c r="T26" s="317"/>
      <c r="U26" s="317"/>
      <c r="V26" s="317"/>
    </row>
    <row r="27" spans="1:22" ht="16.5" thickBot="1" x14ac:dyDescent="0.3">
      <c r="A27" s="317"/>
      <c r="B27" s="329" t="s">
        <v>313</v>
      </c>
      <c r="C27" s="330"/>
      <c r="D27" s="330"/>
      <c r="E27" s="330"/>
      <c r="F27" s="330"/>
      <c r="G27" s="330"/>
      <c r="H27" s="330"/>
      <c r="I27" s="331"/>
      <c r="J27" s="332"/>
      <c r="K27" s="317"/>
      <c r="L27" s="317"/>
      <c r="M27" s="317"/>
      <c r="N27" s="317"/>
      <c r="O27" s="317"/>
      <c r="P27" s="317"/>
      <c r="Q27" s="317"/>
      <c r="R27" s="317"/>
      <c r="S27" s="317"/>
      <c r="T27" s="317"/>
      <c r="U27" s="317"/>
      <c r="V27" s="317"/>
    </row>
    <row r="28" spans="1:22" x14ac:dyDescent="0.25">
      <c r="A28" s="317"/>
      <c r="B28" s="319"/>
      <c r="C28" s="319"/>
      <c r="D28" s="319"/>
      <c r="E28" s="319"/>
      <c r="F28" s="319"/>
      <c r="G28" s="319"/>
      <c r="H28" s="319"/>
      <c r="I28" s="319"/>
      <c r="J28" s="319"/>
      <c r="K28" s="317"/>
      <c r="L28" s="317"/>
      <c r="M28" s="317"/>
      <c r="N28" s="317"/>
      <c r="O28" s="317"/>
      <c r="P28" s="317"/>
      <c r="Q28" s="317"/>
      <c r="R28" s="317"/>
      <c r="S28" s="317"/>
      <c r="T28" s="317"/>
      <c r="U28" s="317"/>
      <c r="V28" s="317"/>
    </row>
    <row r="29" spans="1:22" x14ac:dyDescent="0.25">
      <c r="A29" s="317"/>
      <c r="B29" s="320"/>
      <c r="C29" s="320"/>
      <c r="D29" s="320"/>
      <c r="E29" s="320"/>
      <c r="F29" s="320"/>
      <c r="G29" s="320"/>
      <c r="H29" s="320"/>
      <c r="I29" s="320"/>
      <c r="J29" s="320"/>
      <c r="K29" s="317"/>
      <c r="L29" s="317"/>
      <c r="M29" s="317"/>
      <c r="N29" s="317"/>
      <c r="O29" s="317"/>
      <c r="P29" s="317"/>
      <c r="Q29" s="317"/>
      <c r="R29" s="317"/>
      <c r="S29" s="317"/>
      <c r="T29" s="317"/>
      <c r="U29" s="317"/>
      <c r="V29" s="317"/>
    </row>
    <row r="30" spans="1:22" x14ac:dyDescent="0.25">
      <c r="A30" s="317"/>
      <c r="B30" s="320"/>
      <c r="C30" s="320"/>
      <c r="D30" s="320"/>
      <c r="E30" s="320"/>
      <c r="F30" s="320"/>
      <c r="G30" s="320"/>
      <c r="H30" s="320"/>
      <c r="I30" s="320"/>
      <c r="J30" s="320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</row>
    <row r="31" spans="1:22" x14ac:dyDescent="0.25">
      <c r="A31" s="317"/>
      <c r="B31" s="320"/>
      <c r="C31" s="320"/>
      <c r="D31" s="320"/>
      <c r="E31" s="320"/>
      <c r="F31" s="320"/>
      <c r="G31" s="320"/>
      <c r="H31" s="320"/>
      <c r="I31" s="320"/>
      <c r="J31" s="320"/>
      <c r="K31" s="317"/>
      <c r="L31" s="317"/>
      <c r="M31" s="317"/>
      <c r="N31" s="317"/>
      <c r="O31" s="317"/>
      <c r="P31" s="317"/>
      <c r="Q31" s="317"/>
      <c r="R31" s="317"/>
      <c r="S31" s="317"/>
      <c r="T31" s="317"/>
      <c r="U31" s="317"/>
      <c r="V31" s="317"/>
    </row>
    <row r="32" spans="1:22" x14ac:dyDescent="0.25">
      <c r="A32" s="317"/>
      <c r="B32" s="320"/>
      <c r="C32" s="320"/>
      <c r="D32" s="320"/>
      <c r="E32" s="320"/>
      <c r="F32" s="320"/>
      <c r="G32" s="320"/>
      <c r="H32" s="320"/>
      <c r="I32" s="320"/>
      <c r="J32" s="320"/>
      <c r="K32" s="317"/>
      <c r="L32" s="317"/>
      <c r="M32" s="317"/>
      <c r="N32" s="317"/>
      <c r="O32" s="317"/>
      <c r="P32" s="317"/>
      <c r="Q32" s="317"/>
      <c r="R32" s="317"/>
      <c r="S32" s="317"/>
      <c r="T32" s="317"/>
      <c r="U32" s="317"/>
      <c r="V32" s="317"/>
    </row>
    <row r="33" spans="1:22" x14ac:dyDescent="0.25">
      <c r="A33" s="317"/>
      <c r="B33" s="320"/>
      <c r="C33" s="320"/>
      <c r="D33" s="320"/>
      <c r="E33" s="320"/>
      <c r="F33" s="320"/>
      <c r="G33" s="320"/>
      <c r="H33" s="320"/>
      <c r="I33" s="320"/>
      <c r="J33" s="320"/>
      <c r="K33" s="317"/>
      <c r="L33" s="317"/>
      <c r="M33" s="317"/>
      <c r="N33" s="317"/>
      <c r="O33" s="317"/>
      <c r="P33" s="317"/>
      <c r="Q33" s="317"/>
      <c r="R33" s="317"/>
      <c r="S33" s="317"/>
      <c r="T33" s="317"/>
      <c r="U33" s="317"/>
      <c r="V33" s="317"/>
    </row>
    <row r="34" spans="1:22" x14ac:dyDescent="0.25">
      <c r="A34" s="317"/>
      <c r="B34" s="320"/>
      <c r="C34" s="320"/>
      <c r="D34" s="320"/>
      <c r="E34" s="320"/>
      <c r="F34" s="320"/>
      <c r="G34" s="320"/>
      <c r="H34" s="320"/>
      <c r="I34" s="320"/>
      <c r="J34" s="320"/>
      <c r="K34" s="317"/>
      <c r="L34" s="317"/>
      <c r="M34" s="317"/>
      <c r="N34" s="317"/>
      <c r="O34" s="317"/>
      <c r="P34" s="317"/>
      <c r="Q34" s="317"/>
      <c r="R34" s="317"/>
      <c r="S34" s="317"/>
      <c r="T34" s="317"/>
      <c r="U34" s="317"/>
      <c r="V34" s="317"/>
    </row>
    <row r="35" spans="1:22" x14ac:dyDescent="0.25">
      <c r="A35" s="317"/>
      <c r="B35" s="320"/>
      <c r="C35" s="320"/>
      <c r="D35" s="320"/>
      <c r="E35" s="320"/>
      <c r="F35" s="320"/>
      <c r="G35" s="320"/>
      <c r="H35" s="320"/>
      <c r="I35" s="320"/>
      <c r="J35" s="320"/>
      <c r="K35" s="317"/>
      <c r="L35" s="317"/>
      <c r="M35" s="317"/>
      <c r="N35" s="317"/>
      <c r="O35" s="317"/>
      <c r="P35" s="317"/>
      <c r="Q35" s="317"/>
      <c r="R35" s="317"/>
      <c r="S35" s="317"/>
      <c r="T35" s="317"/>
      <c r="U35" s="317"/>
      <c r="V35" s="317"/>
    </row>
    <row r="36" spans="1:22" x14ac:dyDescent="0.25">
      <c r="A36" s="317"/>
      <c r="B36" s="320"/>
      <c r="C36" s="320"/>
      <c r="D36" s="320"/>
      <c r="E36" s="320"/>
      <c r="F36" s="320"/>
      <c r="G36" s="320"/>
      <c r="H36" s="320"/>
      <c r="I36" s="320"/>
      <c r="J36" s="320"/>
      <c r="K36" s="317"/>
      <c r="L36" s="317"/>
      <c r="M36" s="317"/>
      <c r="N36" s="317"/>
      <c r="O36" s="317"/>
      <c r="P36" s="317"/>
      <c r="Q36" s="317"/>
      <c r="R36" s="317"/>
      <c r="S36" s="317"/>
      <c r="T36" s="317"/>
      <c r="U36" s="317"/>
      <c r="V36" s="317"/>
    </row>
    <row r="37" spans="1:22" x14ac:dyDescent="0.25">
      <c r="A37" s="317"/>
      <c r="B37" s="320"/>
      <c r="C37" s="320"/>
      <c r="D37" s="320"/>
      <c r="E37" s="320"/>
      <c r="F37" s="320"/>
      <c r="G37" s="320"/>
      <c r="H37" s="320"/>
      <c r="I37" s="320"/>
      <c r="J37" s="320"/>
      <c r="K37" s="317"/>
      <c r="L37" s="317"/>
      <c r="M37" s="317"/>
      <c r="N37" s="317"/>
      <c r="O37" s="317"/>
      <c r="P37" s="317"/>
      <c r="Q37" s="317"/>
      <c r="R37" s="317"/>
      <c r="S37" s="317"/>
      <c r="T37" s="317"/>
      <c r="U37" s="317"/>
      <c r="V37" s="317"/>
    </row>
    <row r="38" spans="1:22" x14ac:dyDescent="0.25">
      <c r="A38" s="317"/>
      <c r="B38" s="320"/>
      <c r="C38" s="320"/>
      <c r="D38" s="320"/>
      <c r="E38" s="320"/>
      <c r="F38" s="320"/>
      <c r="G38" s="320"/>
      <c r="H38" s="320"/>
      <c r="I38" s="320"/>
      <c r="J38" s="320"/>
      <c r="K38" s="317"/>
      <c r="L38" s="317"/>
      <c r="M38" s="317"/>
      <c r="N38" s="317"/>
      <c r="O38" s="317"/>
      <c r="P38" s="317"/>
      <c r="Q38" s="317"/>
      <c r="R38" s="317"/>
      <c r="S38" s="317"/>
      <c r="T38" s="317"/>
      <c r="U38" s="317"/>
      <c r="V38" s="317"/>
    </row>
    <row r="39" spans="1:22" x14ac:dyDescent="0.25">
      <c r="A39" s="317"/>
      <c r="B39" s="320"/>
      <c r="C39" s="320"/>
      <c r="D39" s="320"/>
      <c r="E39" s="320"/>
      <c r="F39" s="320"/>
      <c r="G39" s="320"/>
      <c r="H39" s="320"/>
      <c r="I39" s="320"/>
      <c r="J39" s="320"/>
      <c r="K39" s="317"/>
      <c r="L39" s="317"/>
      <c r="M39" s="317"/>
      <c r="N39" s="317"/>
      <c r="O39" s="317"/>
      <c r="P39" s="317"/>
      <c r="Q39" s="317"/>
      <c r="R39" s="317"/>
      <c r="S39" s="317"/>
      <c r="T39" s="317"/>
      <c r="U39" s="317"/>
      <c r="V39" s="317"/>
    </row>
    <row r="40" spans="1:22" x14ac:dyDescent="0.25">
      <c r="K40" s="317"/>
      <c r="L40" s="317"/>
      <c r="M40" s="317"/>
      <c r="N40" s="317"/>
      <c r="O40" s="317"/>
      <c r="P40" s="317"/>
      <c r="Q40" s="317"/>
      <c r="R40" s="317"/>
      <c r="S40" s="317"/>
      <c r="T40" s="317"/>
      <c r="U40" s="317"/>
      <c r="V40" s="317"/>
    </row>
  </sheetData>
  <mergeCells count="35">
    <mergeCell ref="K1:V40"/>
    <mergeCell ref="A1:A39"/>
    <mergeCell ref="B1:J2"/>
    <mergeCell ref="B28:J39"/>
    <mergeCell ref="E19:H19"/>
    <mergeCell ref="E20:H20"/>
    <mergeCell ref="E21:H21"/>
    <mergeCell ref="E16:H16"/>
    <mergeCell ref="B5:J5"/>
    <mergeCell ref="B3:F3"/>
    <mergeCell ref="G3:I3"/>
    <mergeCell ref="B4:J4"/>
    <mergeCell ref="B27:J27"/>
    <mergeCell ref="B12:E12"/>
    <mergeCell ref="F12:G12"/>
    <mergeCell ref="C26:H26"/>
    <mergeCell ref="E24:H24"/>
    <mergeCell ref="I11:J11"/>
    <mergeCell ref="I12:J26"/>
    <mergeCell ref="E17:H17"/>
    <mergeCell ref="E18:H18"/>
    <mergeCell ref="E23:H23"/>
    <mergeCell ref="E22:H22"/>
    <mergeCell ref="E13:H13"/>
    <mergeCell ref="B14:H14"/>
    <mergeCell ref="B11:D11"/>
    <mergeCell ref="F11:G11"/>
    <mergeCell ref="C25:H25"/>
    <mergeCell ref="E15:H15"/>
    <mergeCell ref="B6:I6"/>
    <mergeCell ref="B7:I7"/>
    <mergeCell ref="B8:I8"/>
    <mergeCell ref="B9:I9"/>
    <mergeCell ref="B10:J10"/>
    <mergeCell ref="J7:J8"/>
  </mergeCells>
  <phoneticPr fontId="30" type="noConversion"/>
  <pageMargins left="0.51180555555555596" right="0.51180555555555596" top="0.78680555555555598" bottom="0.78680555555555598" header="0.31388888888888899" footer="0.31388888888888899"/>
  <pageSetup paperSize="9" orientation="portrait" horizontalDpi="203" verticalDpi="300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1000000}">
          <x14:formula1>
            <xm:f>carga!$A$2:$A$11</xm:f>
          </x14:formula1>
          <xm:sqref>C26</xm:sqref>
        </x14:dataValidation>
        <x14:dataValidation type="list" allowBlank="1" showInputMessage="1" showErrorMessage="1" xr:uid="{00000000-0002-0000-0000-000002000000}">
          <x14:formula1>
            <xm:f>sn!$B$3:$B$4</xm:f>
          </x14:formula1>
          <xm:sqref>H12</xm:sqref>
        </x14:dataValidation>
        <x14:dataValidation type="list" allowBlank="1" showInputMessage="1" showErrorMessage="1" xr:uid="{00000000-0002-0000-0000-000003000000}">
          <x14:formula1>
            <xm:f>sn!$A$3:$A$4</xm:f>
          </x14:formula1>
          <xm:sqref>H11</xm:sqref>
        </x14:dataValidation>
        <x14:dataValidation type="list" allowBlank="1" showErrorMessage="1" xr:uid="{00000000-0002-0000-0000-000004000000}">
          <x14:formula1>
            <xm:f>'placas '!$A:$A</xm:f>
          </x14:formula1>
          <xm:sqref>J7:J8</xm:sqref>
        </x14:dataValidation>
        <x14:dataValidation type="list" allowBlank="1" showInputMessage="1" showErrorMessage="1" xr:uid="{B3259425-B2EA-4EE9-9A9F-FCB0DB8B2E4E}">
          <x14:formula1>
            <xm:f>carga!$A$2:$A$30</xm:f>
          </x14:formula1>
          <xm:sqref>C25:H25</xm:sqref>
        </x14:dataValidation>
        <x14:dataValidation type="list" allowBlank="1" showInputMessage="1" showErrorMessage="1" xr:uid="{00000000-0002-0000-0000-000000000000}">
          <x14:formula1>
            <xm:f>'Motoristas '!$A$3:$A$1048576</xm:f>
          </x14:formula1>
          <xm:sqref>B7:I7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5" tint="0.59999389629810485"/>
  </sheetPr>
  <dimension ref="A1:O29"/>
  <sheetViews>
    <sheetView tabSelected="1" zoomScaleSheetLayoutView="100" workbookViewId="0">
      <selection activeCell="G9" sqref="G9"/>
    </sheetView>
  </sheetViews>
  <sheetFormatPr defaultColWidth="9" defaultRowHeight="15" x14ac:dyDescent="0.25"/>
  <cols>
    <col min="1" max="1" width="2.7109375" customWidth="1"/>
    <col min="2" max="4" width="14" customWidth="1"/>
    <col min="5" max="5" width="13.140625" customWidth="1"/>
    <col min="6" max="6" width="14.85546875" customWidth="1"/>
    <col min="7" max="7" width="51" customWidth="1"/>
    <col min="8" max="8" width="2.7109375" customWidth="1"/>
    <col min="15" max="15" width="15.85546875" bestFit="1" customWidth="1"/>
  </cols>
  <sheetData>
    <row r="1" spans="1:15" ht="15.75" thickBot="1" x14ac:dyDescent="0.3">
      <c r="A1" s="14"/>
      <c r="B1" s="14"/>
      <c r="C1" s="14"/>
      <c r="D1" s="14"/>
      <c r="E1" s="14"/>
      <c r="F1" s="14"/>
      <c r="G1" s="14"/>
      <c r="H1" s="14"/>
    </row>
    <row r="2" spans="1:15" ht="17.25" thickBot="1" x14ac:dyDescent="0.3">
      <c r="A2" s="14"/>
      <c r="B2" s="344" t="s">
        <v>9</v>
      </c>
      <c r="C2" s="345"/>
      <c r="D2" s="345"/>
      <c r="E2" s="345"/>
      <c r="F2" s="214" t="s">
        <v>15</v>
      </c>
      <c r="G2" s="228">
        <f ca="1">NOW()</f>
        <v>44210.736554513889</v>
      </c>
      <c r="H2" s="14"/>
    </row>
    <row r="3" spans="1:15" ht="20.25" thickBot="1" x14ac:dyDescent="0.3">
      <c r="A3" s="14"/>
      <c r="B3" s="346" t="s">
        <v>298</v>
      </c>
      <c r="C3" s="347"/>
      <c r="D3" s="15">
        <f>SUM(E7:E15)</f>
        <v>1976</v>
      </c>
      <c r="E3" s="15">
        <f>SUM(F7:F15)</f>
        <v>5036</v>
      </c>
      <c r="F3" s="34"/>
      <c r="G3" s="35"/>
      <c r="H3" s="14"/>
    </row>
    <row r="4" spans="1:15" ht="17.25" thickBot="1" x14ac:dyDescent="0.3">
      <c r="A4" s="14"/>
      <c r="B4" s="346" t="s">
        <v>1</v>
      </c>
      <c r="C4" s="348"/>
      <c r="D4" s="16"/>
      <c r="E4" s="192"/>
      <c r="F4" s="192"/>
      <c r="G4" s="17"/>
      <c r="H4" s="14"/>
    </row>
    <row r="5" spans="1:15" ht="24" thickBot="1" x14ac:dyDescent="0.3">
      <c r="A5" s="14"/>
      <c r="B5" s="349" t="s">
        <v>3</v>
      </c>
      <c r="C5" s="350"/>
      <c r="D5" s="349" t="s">
        <v>1043</v>
      </c>
      <c r="E5" s="351"/>
      <c r="F5" s="351"/>
      <c r="G5" s="350"/>
      <c r="H5" s="39"/>
      <c r="I5" s="40"/>
    </row>
    <row r="6" spans="1:15" ht="17.25" customHeight="1" x14ac:dyDescent="0.25">
      <c r="A6" s="14"/>
      <c r="B6" s="354" t="s">
        <v>16</v>
      </c>
      <c r="C6" s="355"/>
      <c r="D6" s="355"/>
      <c r="E6" s="198" t="s">
        <v>17</v>
      </c>
      <c r="F6" s="198" t="s">
        <v>18</v>
      </c>
      <c r="G6" s="215"/>
      <c r="H6" s="39"/>
      <c r="I6" s="40"/>
    </row>
    <row r="7" spans="1:15" ht="21.95" customHeight="1" x14ac:dyDescent="0.25">
      <c r="A7" s="14"/>
      <c r="B7" s="342" t="s">
        <v>1044</v>
      </c>
      <c r="C7" s="343"/>
      <c r="D7" s="343"/>
      <c r="E7" s="18">
        <v>812</v>
      </c>
      <c r="F7" s="18">
        <v>3237</v>
      </c>
      <c r="G7" s="216" t="s">
        <v>1042</v>
      </c>
      <c r="H7" s="39"/>
      <c r="I7" s="40"/>
      <c r="K7" s="25"/>
    </row>
    <row r="8" spans="1:15" ht="21.95" customHeight="1" x14ac:dyDescent="0.25">
      <c r="A8" s="14"/>
      <c r="B8" s="342" t="s">
        <v>1044</v>
      </c>
      <c r="C8" s="343"/>
      <c r="D8" s="343"/>
      <c r="E8" s="18">
        <v>1164</v>
      </c>
      <c r="F8" s="18">
        <v>1799</v>
      </c>
      <c r="G8" s="216" t="s">
        <v>1042</v>
      </c>
      <c r="H8" s="39"/>
      <c r="I8" s="40"/>
      <c r="K8" s="25"/>
    </row>
    <row r="9" spans="1:15" ht="21.95" customHeight="1" x14ac:dyDescent="0.25">
      <c r="A9" s="14"/>
      <c r="B9" s="342" t="s">
        <v>1044</v>
      </c>
      <c r="C9" s="343"/>
      <c r="D9" s="343"/>
      <c r="E9" s="18"/>
      <c r="F9" s="18"/>
      <c r="G9" s="216"/>
      <c r="H9" s="39"/>
      <c r="I9" s="40"/>
      <c r="K9" s="25"/>
    </row>
    <row r="10" spans="1:15" ht="21.95" customHeight="1" x14ac:dyDescent="0.25">
      <c r="A10" s="14"/>
      <c r="B10" s="342" t="s">
        <v>1044</v>
      </c>
      <c r="C10" s="343"/>
      <c r="D10" s="343"/>
      <c r="E10" s="18"/>
      <c r="F10" s="18"/>
      <c r="G10" s="216"/>
      <c r="H10" s="39"/>
      <c r="I10" s="40"/>
      <c r="K10" s="25"/>
    </row>
    <row r="11" spans="1:15" ht="21.95" customHeight="1" x14ac:dyDescent="0.25">
      <c r="A11" s="14"/>
      <c r="B11" s="342"/>
      <c r="C11" s="343"/>
      <c r="D11" s="343"/>
      <c r="E11" s="18"/>
      <c r="F11" s="18"/>
      <c r="G11" s="216"/>
      <c r="H11" s="39"/>
      <c r="I11" s="40"/>
      <c r="K11" s="25"/>
    </row>
    <row r="12" spans="1:15" ht="21.95" hidden="1" customHeight="1" x14ac:dyDescent="0.25">
      <c r="A12" s="14"/>
      <c r="B12" s="342"/>
      <c r="C12" s="343"/>
      <c r="D12" s="343"/>
      <c r="E12" s="18"/>
      <c r="F12" s="18"/>
      <c r="G12" s="191"/>
      <c r="H12" s="39"/>
      <c r="I12" s="40"/>
      <c r="K12" s="25"/>
    </row>
    <row r="13" spans="1:15" ht="21.95" hidden="1" customHeight="1" x14ac:dyDescent="0.25">
      <c r="A13" s="14"/>
      <c r="B13" s="342"/>
      <c r="C13" s="343"/>
      <c r="D13" s="343"/>
      <c r="E13" s="18"/>
      <c r="F13" s="18"/>
      <c r="G13" s="191"/>
      <c r="H13" s="39"/>
      <c r="I13" s="40"/>
      <c r="K13" s="25"/>
    </row>
    <row r="14" spans="1:15" ht="21.95" hidden="1" customHeight="1" x14ac:dyDescent="0.25">
      <c r="A14" s="14"/>
      <c r="B14" s="342"/>
      <c r="C14" s="343"/>
      <c r="D14" s="343"/>
      <c r="E14" s="18"/>
      <c r="F14" s="18"/>
      <c r="G14" s="191"/>
      <c r="H14" s="39"/>
      <c r="I14" s="40"/>
      <c r="K14" s="25"/>
    </row>
    <row r="15" spans="1:15" ht="21.95" hidden="1" customHeight="1" thickBot="1" x14ac:dyDescent="0.3">
      <c r="A15" s="14"/>
      <c r="B15" s="364"/>
      <c r="C15" s="365"/>
      <c r="D15" s="365"/>
      <c r="E15" s="194"/>
      <c r="F15" s="194"/>
      <c r="G15" s="195"/>
      <c r="H15" s="39"/>
      <c r="I15" s="40"/>
    </row>
    <row r="16" spans="1:15" ht="17.25" thickBot="1" x14ac:dyDescent="0.3">
      <c r="A16" s="14"/>
      <c r="B16" s="362" t="s">
        <v>19</v>
      </c>
      <c r="C16" s="363"/>
      <c r="D16" s="363"/>
      <c r="E16" s="363"/>
      <c r="F16" s="196"/>
      <c r="G16" s="197" t="s">
        <v>20</v>
      </c>
      <c r="H16" s="39"/>
      <c r="I16" s="40"/>
      <c r="O16" s="26"/>
    </row>
    <row r="17" spans="1:15" ht="27.75" thickBot="1" x14ac:dyDescent="0.3">
      <c r="A17" s="14"/>
      <c r="B17" s="340" t="s">
        <v>1030</v>
      </c>
      <c r="C17" s="341"/>
      <c r="D17" s="341"/>
      <c r="E17" s="341"/>
      <c r="F17" s="341"/>
      <c r="G17" s="193" t="s">
        <v>123</v>
      </c>
      <c r="H17" s="39"/>
      <c r="I17" s="40"/>
      <c r="O17" s="26"/>
    </row>
    <row r="18" spans="1:15" ht="27.75" thickBot="1" x14ac:dyDescent="0.3">
      <c r="A18" s="14"/>
      <c r="B18" s="340" t="s">
        <v>1047</v>
      </c>
      <c r="C18" s="341"/>
      <c r="D18" s="341"/>
      <c r="E18" s="341"/>
      <c r="F18" s="341"/>
      <c r="G18" s="193" t="s">
        <v>119</v>
      </c>
      <c r="H18" s="39"/>
      <c r="I18" s="40"/>
      <c r="O18" s="26"/>
    </row>
    <row r="19" spans="1:15" ht="27.75" thickBot="1" x14ac:dyDescent="0.3">
      <c r="A19" s="14"/>
      <c r="B19" s="340" t="s">
        <v>1024</v>
      </c>
      <c r="C19" s="341"/>
      <c r="D19" s="341"/>
      <c r="E19" s="341"/>
      <c r="F19" s="341"/>
      <c r="G19" s="193" t="s">
        <v>136</v>
      </c>
      <c r="H19" s="39"/>
      <c r="I19" s="40"/>
      <c r="O19" s="26"/>
    </row>
    <row r="20" spans="1:15" ht="27.75" thickBot="1" x14ac:dyDescent="0.3">
      <c r="A20" s="14"/>
      <c r="B20" s="340" t="s">
        <v>1013</v>
      </c>
      <c r="C20" s="341"/>
      <c r="D20" s="341"/>
      <c r="E20" s="341"/>
      <c r="F20" s="341"/>
      <c r="G20" s="193" t="s">
        <v>122</v>
      </c>
      <c r="H20" s="39"/>
      <c r="I20" s="40"/>
      <c r="O20" s="26"/>
    </row>
    <row r="21" spans="1:15" ht="27.75" hidden="1" thickBot="1" x14ac:dyDescent="0.3">
      <c r="A21" s="14"/>
      <c r="B21" s="366"/>
      <c r="C21" s="367"/>
      <c r="D21" s="367"/>
      <c r="E21" s="367"/>
      <c r="F21" s="367"/>
      <c r="G21" s="193"/>
      <c r="H21" s="14"/>
    </row>
    <row r="22" spans="1:15" ht="27.75" hidden="1" thickBot="1" x14ac:dyDescent="0.3">
      <c r="A22" s="14"/>
      <c r="B22" s="366"/>
      <c r="C22" s="367"/>
      <c r="D22" s="367"/>
      <c r="E22" s="367"/>
      <c r="F22" s="367"/>
      <c r="G22" s="193"/>
      <c r="H22" s="14"/>
    </row>
    <row r="23" spans="1:15" ht="33.75" customHeight="1" thickBot="1" x14ac:dyDescent="0.3">
      <c r="A23" s="14"/>
      <c r="B23" s="346" t="s">
        <v>22</v>
      </c>
      <c r="C23" s="348"/>
      <c r="D23" s="352" t="s">
        <v>1045</v>
      </c>
      <c r="E23" s="352"/>
      <c r="F23" s="352"/>
      <c r="G23" s="353"/>
      <c r="H23" s="14"/>
    </row>
    <row r="24" spans="1:15" x14ac:dyDescent="0.25">
      <c r="A24" s="14"/>
      <c r="B24" s="358" t="s">
        <v>23</v>
      </c>
      <c r="C24" s="359"/>
      <c r="D24" s="359"/>
      <c r="E24" s="359"/>
      <c r="F24" s="359"/>
      <c r="G24" s="356" t="s">
        <v>1046</v>
      </c>
      <c r="H24" s="14"/>
      <c r="N24" s="25"/>
    </row>
    <row r="25" spans="1:15" ht="27" customHeight="1" thickBot="1" x14ac:dyDescent="0.3">
      <c r="B25" s="360"/>
      <c r="C25" s="361"/>
      <c r="D25" s="361"/>
      <c r="E25" s="361"/>
      <c r="F25" s="361"/>
      <c r="G25" s="357"/>
    </row>
    <row r="26" spans="1:15" x14ac:dyDescent="0.25">
      <c r="B26" s="14"/>
      <c r="C26" s="14"/>
      <c r="D26" s="14"/>
      <c r="E26" s="14"/>
      <c r="F26" s="14"/>
      <c r="G26" s="14"/>
    </row>
    <row r="28" spans="1:15" x14ac:dyDescent="0.25">
      <c r="G28" s="28"/>
    </row>
    <row r="29" spans="1:15" x14ac:dyDescent="0.25">
      <c r="G29" s="6"/>
    </row>
  </sheetData>
  <mergeCells count="26">
    <mergeCell ref="D23:G23"/>
    <mergeCell ref="B6:D6"/>
    <mergeCell ref="G24:G25"/>
    <mergeCell ref="B24:F25"/>
    <mergeCell ref="B7:D7"/>
    <mergeCell ref="B23:C23"/>
    <mergeCell ref="B16:E16"/>
    <mergeCell ref="B15:D15"/>
    <mergeCell ref="B14:D14"/>
    <mergeCell ref="B12:D12"/>
    <mergeCell ref="B13:D13"/>
    <mergeCell ref="B22:F22"/>
    <mergeCell ref="B21:F21"/>
    <mergeCell ref="B17:F17"/>
    <mergeCell ref="B9:D9"/>
    <mergeCell ref="B10:D10"/>
    <mergeCell ref="B2:E2"/>
    <mergeCell ref="B3:C3"/>
    <mergeCell ref="B4:C4"/>
    <mergeCell ref="B5:C5"/>
    <mergeCell ref="D5:G5"/>
    <mergeCell ref="B18:F18"/>
    <mergeCell ref="B19:F19"/>
    <mergeCell ref="B20:F20"/>
    <mergeCell ref="B11:D11"/>
    <mergeCell ref="B8:D8"/>
  </mergeCells>
  <phoneticPr fontId="30" type="noConversion"/>
  <pageMargins left="0.51180555555555596" right="0.51180555555555596" top="0.78680555555555598" bottom="0.78680555555555598" header="0.31388888888888899" footer="0.31388888888888899"/>
  <pageSetup paperSize="9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8621F3A-28F1-434C-AA0F-4B72078C4738}">
          <x14:formula1>
            <xm:f>'placas '!$A$2:$A$201</xm:f>
          </x14:formula1>
          <xm:sqref>G17:G22</xm:sqref>
        </x14:dataValidation>
        <x14:dataValidation type="list" allowBlank="1" showInputMessage="1" showErrorMessage="1" xr:uid="{64481AC6-335D-4306-B678-544BD88F52A0}">
          <x14:formula1>
            <xm:f>'Motoristas '!$A$4:$A$721</xm:f>
          </x14:formula1>
          <xm:sqref>B18:F22</xm:sqref>
        </x14:dataValidation>
        <x14:dataValidation type="list" allowBlank="1" showInputMessage="1" showErrorMessage="1" xr:uid="{B099EA66-F641-44A7-9A0A-61345A37D942}">
          <x14:formula1>
            <xm:f>'Motoristas '!$A$3:$A$721</xm:f>
          </x14:formula1>
          <xm:sqref>B17:F17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CA6D5-2FFF-4977-812E-CCEFBF7D66DD}">
  <sheetPr>
    <tabColor rgb="FF00B050"/>
  </sheetPr>
  <dimension ref="A1:Q43"/>
  <sheetViews>
    <sheetView topLeftCell="J1" workbookViewId="0">
      <selection activeCell="L9" sqref="L9"/>
    </sheetView>
  </sheetViews>
  <sheetFormatPr defaultColWidth="0" defaultRowHeight="15" zeroHeight="1" x14ac:dyDescent="0.25"/>
  <cols>
    <col min="1" max="9" width="0" hidden="1" customWidth="1"/>
    <col min="10" max="11" width="9.140625" customWidth="1"/>
    <col min="12" max="12" width="32.5703125" style="51" bestFit="1" customWidth="1"/>
    <col min="13" max="14" width="9.140625" customWidth="1"/>
    <col min="15" max="15" width="6.7109375" customWidth="1"/>
    <col min="16" max="16" width="15.7109375" customWidth="1"/>
    <col min="17" max="17" width="9.140625" customWidth="1"/>
    <col min="18" max="16384" width="9.140625" hidden="1"/>
  </cols>
  <sheetData>
    <row r="1" spans="12:16" ht="15.75" thickBot="1" x14ac:dyDescent="0.3">
      <c r="L1" s="208">
        <v>10894.68</v>
      </c>
    </row>
    <row r="2" spans="12:16" ht="15.75" thickBot="1" x14ac:dyDescent="0.3">
      <c r="L2" s="206">
        <v>3058689.91</v>
      </c>
    </row>
    <row r="3" spans="12:16" ht="15.75" thickBot="1" x14ac:dyDescent="0.3">
      <c r="L3" s="206">
        <v>6887480.1100000003</v>
      </c>
    </row>
    <row r="4" spans="12:16" ht="15.75" thickBot="1" x14ac:dyDescent="0.3">
      <c r="L4" s="206">
        <v>18021.62</v>
      </c>
    </row>
    <row r="5" spans="12:16" ht="15.75" thickBot="1" x14ac:dyDescent="0.3">
      <c r="L5" s="206">
        <v>952043.6</v>
      </c>
      <c r="O5" s="374" t="s">
        <v>892</v>
      </c>
      <c r="P5" s="375"/>
    </row>
    <row r="6" spans="12:16" ht="15.75" thickBot="1" x14ac:dyDescent="0.3">
      <c r="L6" s="206">
        <v>300335.84999999998</v>
      </c>
      <c r="O6" s="211" t="s">
        <v>223</v>
      </c>
      <c r="P6" s="205" t="s">
        <v>885</v>
      </c>
    </row>
    <row r="7" spans="12:16" ht="15.75" thickBot="1" x14ac:dyDescent="0.3">
      <c r="L7" s="206">
        <v>338191.44</v>
      </c>
      <c r="O7" s="211" t="s">
        <v>224</v>
      </c>
      <c r="P7" s="205" t="s">
        <v>886</v>
      </c>
    </row>
    <row r="8" spans="12:16" ht="15.75" thickBot="1" x14ac:dyDescent="0.3">
      <c r="L8" s="206">
        <v>828241.05</v>
      </c>
      <c r="O8" s="211" t="s">
        <v>225</v>
      </c>
      <c r="P8" s="205" t="s">
        <v>887</v>
      </c>
    </row>
    <row r="9" spans="12:16" ht="15.75" thickBot="1" x14ac:dyDescent="0.3">
      <c r="L9" s="206"/>
      <c r="O9" s="211" t="s">
        <v>6</v>
      </c>
      <c r="P9" s="205" t="s">
        <v>888</v>
      </c>
    </row>
    <row r="10" spans="12:16" ht="15.75" thickBot="1" x14ac:dyDescent="0.3">
      <c r="L10" s="206"/>
      <c r="O10" s="211" t="s">
        <v>226</v>
      </c>
      <c r="P10" s="205" t="s">
        <v>889</v>
      </c>
    </row>
    <row r="11" spans="12:16" ht="15.75" thickBot="1" x14ac:dyDescent="0.3">
      <c r="L11" s="206"/>
      <c r="O11" s="212" t="s">
        <v>227</v>
      </c>
      <c r="P11" s="205" t="s">
        <v>890</v>
      </c>
    </row>
    <row r="12" spans="12:16" ht="15.75" thickBot="1" x14ac:dyDescent="0.3">
      <c r="L12" s="206"/>
      <c r="O12" s="209"/>
      <c r="P12" s="210"/>
    </row>
    <row r="13" spans="12:16" ht="15.75" thickBot="1" x14ac:dyDescent="0.3">
      <c r="L13" s="206"/>
      <c r="O13" s="209"/>
      <c r="P13" s="210"/>
    </row>
    <row r="14" spans="12:16" ht="15.75" thickBot="1" x14ac:dyDescent="0.3">
      <c r="L14" s="206"/>
      <c r="O14" s="209"/>
      <c r="P14" s="210"/>
    </row>
    <row r="15" spans="12:16" ht="15.75" thickBot="1" x14ac:dyDescent="0.3">
      <c r="L15" s="206"/>
      <c r="O15" s="209"/>
      <c r="P15" s="210"/>
    </row>
    <row r="16" spans="12:16" ht="15.75" thickBot="1" x14ac:dyDescent="0.3">
      <c r="L16" s="206"/>
      <c r="O16" s="209"/>
      <c r="P16" s="210"/>
    </row>
    <row r="17" spans="12:16" ht="15.75" thickBot="1" x14ac:dyDescent="0.3">
      <c r="L17" s="206"/>
      <c r="O17" s="209"/>
      <c r="P17" s="210"/>
    </row>
    <row r="18" spans="12:16" ht="15.75" thickBot="1" x14ac:dyDescent="0.3">
      <c r="L18" s="206"/>
      <c r="O18" s="209"/>
      <c r="P18" s="210"/>
    </row>
    <row r="19" spans="12:16" ht="15.75" thickBot="1" x14ac:dyDescent="0.3">
      <c r="L19" s="206"/>
      <c r="O19" s="209"/>
      <c r="P19" s="210"/>
    </row>
    <row r="20" spans="12:16" ht="15.75" thickBot="1" x14ac:dyDescent="0.3">
      <c r="L20" s="206"/>
      <c r="O20" s="209"/>
      <c r="P20" s="210"/>
    </row>
    <row r="21" spans="12:16" ht="15.75" thickBot="1" x14ac:dyDescent="0.3">
      <c r="L21" s="206"/>
      <c r="O21" s="209"/>
      <c r="P21" s="210"/>
    </row>
    <row r="22" spans="12:16" ht="15.75" thickBot="1" x14ac:dyDescent="0.3">
      <c r="L22" s="206"/>
      <c r="O22" s="209"/>
      <c r="P22" s="210"/>
    </row>
    <row r="23" spans="12:16" ht="15.75" thickBot="1" x14ac:dyDescent="0.3">
      <c r="L23" s="206"/>
      <c r="O23" s="209"/>
      <c r="P23" s="210"/>
    </row>
    <row r="24" spans="12:16" ht="15.75" thickBot="1" x14ac:dyDescent="0.3">
      <c r="L24" s="206"/>
      <c r="O24" s="209"/>
      <c r="P24" s="210"/>
    </row>
    <row r="25" spans="12:16" ht="15.75" thickBot="1" x14ac:dyDescent="0.3">
      <c r="L25" s="206"/>
      <c r="O25" s="209"/>
      <c r="P25" s="210"/>
    </row>
    <row r="26" spans="12:16" ht="15.75" thickBot="1" x14ac:dyDescent="0.3">
      <c r="L26" s="206"/>
      <c r="O26" s="209"/>
      <c r="P26" s="210"/>
    </row>
    <row r="27" spans="12:16" ht="15.75" thickBot="1" x14ac:dyDescent="0.3">
      <c r="L27" s="206"/>
      <c r="O27" s="209"/>
      <c r="P27" s="210"/>
    </row>
    <row r="28" spans="12:16" ht="15.75" thickBot="1" x14ac:dyDescent="0.3">
      <c r="L28" s="206"/>
      <c r="O28" s="209"/>
      <c r="P28" s="210"/>
    </row>
    <row r="29" spans="12:16" ht="15.75" thickBot="1" x14ac:dyDescent="0.3">
      <c r="L29" s="206"/>
    </row>
    <row r="30" spans="12:16" ht="15.75" thickBot="1" x14ac:dyDescent="0.3">
      <c r="L30" s="206"/>
    </row>
    <row r="31" spans="12:16" ht="15.75" thickBot="1" x14ac:dyDescent="0.3">
      <c r="L31" s="206"/>
    </row>
    <row r="32" spans="12:16" ht="15.75" thickBot="1" x14ac:dyDescent="0.3">
      <c r="L32" s="206"/>
    </row>
    <row r="33" spans="10:15" ht="15.75" thickBot="1" x14ac:dyDescent="0.3">
      <c r="L33" s="206"/>
    </row>
    <row r="34" spans="10:15" ht="15.75" thickBot="1" x14ac:dyDescent="0.3">
      <c r="L34" s="206"/>
    </row>
    <row r="35" spans="10:15" ht="15.75" thickBot="1" x14ac:dyDescent="0.3">
      <c r="L35" s="206"/>
    </row>
    <row r="36" spans="10:15" ht="15.75" thickBot="1" x14ac:dyDescent="0.3">
      <c r="L36" s="206"/>
    </row>
    <row r="37" spans="10:15" ht="15.75" thickBot="1" x14ac:dyDescent="0.3">
      <c r="L37" s="206"/>
    </row>
    <row r="38" spans="10:15" ht="15.75" thickBot="1" x14ac:dyDescent="0.3">
      <c r="L38" s="206"/>
    </row>
    <row r="39" spans="10:15" ht="15.75" thickBot="1" x14ac:dyDescent="0.3">
      <c r="L39" s="206"/>
    </row>
    <row r="40" spans="10:15" ht="15.75" thickBot="1" x14ac:dyDescent="0.3">
      <c r="L40" s="206"/>
      <c r="N40" s="370" t="s">
        <v>892</v>
      </c>
      <c r="O40" s="371"/>
    </row>
    <row r="41" spans="10:15" ht="6.95" customHeight="1" thickBot="1" x14ac:dyDescent="0.3">
      <c r="L41" s="207"/>
      <c r="N41" s="372"/>
      <c r="O41" s="373"/>
    </row>
    <row r="42" spans="10:15" ht="27" thickBot="1" x14ac:dyDescent="0.45">
      <c r="J42" s="368" t="s">
        <v>891</v>
      </c>
      <c r="K42" s="369"/>
      <c r="L42" s="204">
        <f>SUM(L1:L41)</f>
        <v>12393898.26</v>
      </c>
      <c r="N42" s="376" t="str">
        <f>IF(AND(L42&gt;=0,L42&lt;=249000),"T0",IF(AND(L42&gt;=250000,L42&lt;=999999),"T1",IF(AND(L42&gt;=1000000,L42&lt;=3999999),"T2",IF(AND(L42&gt;=4000000,L42&lt;=7999999),"T3",IF(AND(L42&gt;=8000000,L42&lt;=12000000),"T4",IF(L42&gt;=12000000,"T5"))))))</f>
        <v>T5</v>
      </c>
      <c r="O42" s="377"/>
    </row>
    <row r="43" spans="10:15" hidden="1" x14ac:dyDescent="0.25">
      <c r="N43" s="213" t="str">
        <f>N42</f>
        <v>T5</v>
      </c>
    </row>
  </sheetData>
  <mergeCells count="4">
    <mergeCell ref="J42:K42"/>
    <mergeCell ref="N40:O41"/>
    <mergeCell ref="O5:P5"/>
    <mergeCell ref="N42:O42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C2099-4FF0-420C-A1DA-C554FB82D286}">
  <dimension ref="C2:Z132"/>
  <sheetViews>
    <sheetView topLeftCell="A73" zoomScaleNormal="100" workbookViewId="0">
      <selection activeCell="D9" sqref="D9"/>
    </sheetView>
  </sheetViews>
  <sheetFormatPr defaultColWidth="9.140625" defaultRowHeight="15" x14ac:dyDescent="0.25"/>
  <cols>
    <col min="1" max="3" width="9.140625" style="6"/>
    <col min="4" max="4" width="12.85546875" style="6" bestFit="1" customWidth="1"/>
    <col min="5" max="7" width="9.140625" style="6"/>
    <col min="8" max="8" width="7.7109375" style="6" customWidth="1"/>
    <col min="9" max="9" width="13.85546875" style="6" customWidth="1"/>
    <col min="10" max="10" width="21" style="6" bestFit="1" customWidth="1"/>
    <col min="11" max="11" width="15.5703125" style="6" bestFit="1" customWidth="1"/>
    <col min="12" max="16384" width="9.140625" style="6"/>
  </cols>
  <sheetData>
    <row r="2" spans="4:26" x14ac:dyDescent="0.25">
      <c r="K2" s="229" t="s">
        <v>991</v>
      </c>
    </row>
    <row r="3" spans="4:26" ht="15.75" thickBot="1" x14ac:dyDescent="0.3"/>
    <row r="4" spans="4:26" ht="15.75" thickBot="1" x14ac:dyDescent="0.3">
      <c r="I4" s="381" t="s">
        <v>1000</v>
      </c>
      <c r="J4" s="382"/>
    </row>
    <row r="5" spans="4:26" ht="32.25" thickBot="1" x14ac:dyDescent="0.3">
      <c r="D5" s="230" t="s">
        <v>992</v>
      </c>
      <c r="E5" s="231" t="s">
        <v>1001</v>
      </c>
      <c r="F5" s="231" t="s">
        <v>1003</v>
      </c>
      <c r="G5" s="231" t="s">
        <v>1002</v>
      </c>
      <c r="H5" s="249" t="s">
        <v>993</v>
      </c>
      <c r="I5" s="254" t="s">
        <v>994</v>
      </c>
      <c r="J5" s="232" t="s">
        <v>995</v>
      </c>
      <c r="L5" s="233"/>
    </row>
    <row r="6" spans="4:26" x14ac:dyDescent="0.25">
      <c r="D6" s="264">
        <v>0</v>
      </c>
      <c r="E6" s="234">
        <v>83</v>
      </c>
      <c r="F6" s="234">
        <v>57</v>
      </c>
      <c r="G6" s="234">
        <v>50</v>
      </c>
      <c r="H6" s="250">
        <v>0</v>
      </c>
      <c r="I6" s="255">
        <f>(D6*E6*F6*G6)/10^6</f>
        <v>0</v>
      </c>
      <c r="J6" s="235">
        <f>I6*300</f>
        <v>0</v>
      </c>
      <c r="T6" s="6" t="s">
        <v>1009</v>
      </c>
      <c r="V6" s="383" t="s">
        <v>1012</v>
      </c>
      <c r="W6" s="383"/>
      <c r="X6" s="383"/>
      <c r="Y6" s="383"/>
      <c r="Z6" s="383"/>
    </row>
    <row r="7" spans="4:26" ht="15.75" thickBot="1" x14ac:dyDescent="0.3">
      <c r="D7" s="236">
        <v>0</v>
      </c>
      <c r="E7" s="263">
        <v>40</v>
      </c>
      <c r="F7" s="263">
        <v>32</v>
      </c>
      <c r="G7" s="263">
        <v>39</v>
      </c>
      <c r="H7" s="251">
        <v>0</v>
      </c>
      <c r="I7" s="255">
        <f t="shared" ref="I7:I70" si="0">(D7*E7*F7*G7)/10^6</f>
        <v>0</v>
      </c>
      <c r="J7" s="237">
        <f t="shared" ref="J7:J129" si="1">I7*300</f>
        <v>0</v>
      </c>
      <c r="S7" s="6" t="s">
        <v>1010</v>
      </c>
      <c r="T7" s="6">
        <v>18</v>
      </c>
      <c r="V7" s="265" t="s">
        <v>153</v>
      </c>
      <c r="W7" s="265" t="s">
        <v>333</v>
      </c>
      <c r="X7" s="266"/>
      <c r="Y7" s="266"/>
      <c r="Z7" s="266"/>
    </row>
    <row r="8" spans="4:26" ht="15.75" thickBot="1" x14ac:dyDescent="0.3">
      <c r="D8" s="248">
        <v>67</v>
      </c>
      <c r="E8" s="248">
        <v>45</v>
      </c>
      <c r="F8" s="248">
        <v>29</v>
      </c>
      <c r="G8" s="248">
        <v>26</v>
      </c>
      <c r="H8" s="252">
        <v>0</v>
      </c>
      <c r="I8" s="262">
        <f t="shared" si="0"/>
        <v>2.2733099999999999</v>
      </c>
      <c r="J8" s="259">
        <f>I8*300</f>
        <v>681.99299999999994</v>
      </c>
      <c r="S8" s="6" t="s">
        <v>1011</v>
      </c>
      <c r="T8" s="6">
        <v>28</v>
      </c>
      <c r="V8" s="265" t="s">
        <v>148</v>
      </c>
      <c r="W8" s="265" t="s">
        <v>333</v>
      </c>
      <c r="X8" s="266"/>
      <c r="Y8" s="266"/>
      <c r="Z8" s="266"/>
    </row>
    <row r="9" spans="4:26" ht="15.75" thickBot="1" x14ac:dyDescent="0.3">
      <c r="D9" s="248">
        <v>0</v>
      </c>
      <c r="E9" s="248">
        <v>0</v>
      </c>
      <c r="F9" s="248">
        <v>0</v>
      </c>
      <c r="G9" s="248">
        <v>0</v>
      </c>
      <c r="H9" s="252">
        <v>0</v>
      </c>
      <c r="I9" s="262">
        <f t="shared" si="0"/>
        <v>0</v>
      </c>
      <c r="J9" s="260">
        <f t="shared" si="1"/>
        <v>0</v>
      </c>
      <c r="V9" s="265" t="s">
        <v>155</v>
      </c>
      <c r="W9" s="265" t="s">
        <v>333</v>
      </c>
      <c r="X9" s="266"/>
      <c r="Y9" s="266"/>
      <c r="Z9" s="266"/>
    </row>
    <row r="10" spans="4:26" ht="15.75" thickBot="1" x14ac:dyDescent="0.3">
      <c r="D10" s="248">
        <v>0</v>
      </c>
      <c r="E10" s="248">
        <v>0</v>
      </c>
      <c r="F10" s="248">
        <v>0</v>
      </c>
      <c r="G10" s="248">
        <v>0</v>
      </c>
      <c r="H10" s="252">
        <v>0</v>
      </c>
      <c r="I10" s="262">
        <f t="shared" si="0"/>
        <v>0</v>
      </c>
      <c r="J10" s="260">
        <f t="shared" si="1"/>
        <v>0</v>
      </c>
      <c r="V10" s="265" t="s">
        <v>152</v>
      </c>
      <c r="W10" s="265" t="s">
        <v>333</v>
      </c>
      <c r="X10" s="266"/>
      <c r="Y10" s="266"/>
      <c r="Z10" s="266"/>
    </row>
    <row r="11" spans="4:26" ht="15.75" thickBot="1" x14ac:dyDescent="0.3">
      <c r="D11" s="248">
        <v>0</v>
      </c>
      <c r="E11" s="248">
        <v>0</v>
      </c>
      <c r="F11" s="248">
        <v>0</v>
      </c>
      <c r="G11" s="248">
        <v>0</v>
      </c>
      <c r="H11" s="252">
        <v>0</v>
      </c>
      <c r="I11" s="262">
        <f t="shared" si="0"/>
        <v>0</v>
      </c>
      <c r="J11" s="260">
        <f t="shared" si="1"/>
        <v>0</v>
      </c>
    </row>
    <row r="12" spans="4:26" ht="15.75" thickBot="1" x14ac:dyDescent="0.3">
      <c r="D12" s="248">
        <v>0</v>
      </c>
      <c r="E12" s="248">
        <v>0</v>
      </c>
      <c r="F12" s="248">
        <v>0</v>
      </c>
      <c r="G12" s="248">
        <v>0</v>
      </c>
      <c r="H12" s="252">
        <v>0</v>
      </c>
      <c r="I12" s="262">
        <f t="shared" si="0"/>
        <v>0</v>
      </c>
      <c r="J12" s="260">
        <f t="shared" si="1"/>
        <v>0</v>
      </c>
    </row>
    <row r="13" spans="4:26" ht="15.75" thickBot="1" x14ac:dyDescent="0.3">
      <c r="D13" s="248">
        <v>0</v>
      </c>
      <c r="E13" s="248">
        <v>0</v>
      </c>
      <c r="F13" s="248">
        <v>0</v>
      </c>
      <c r="G13" s="248">
        <v>0</v>
      </c>
      <c r="H13" s="252">
        <v>0</v>
      </c>
      <c r="I13" s="262">
        <f t="shared" si="0"/>
        <v>0</v>
      </c>
      <c r="J13" s="260">
        <f t="shared" si="1"/>
        <v>0</v>
      </c>
    </row>
    <row r="14" spans="4:26" ht="15.75" thickBot="1" x14ac:dyDescent="0.3">
      <c r="D14" s="248">
        <v>0</v>
      </c>
      <c r="E14" s="248">
        <v>0</v>
      </c>
      <c r="F14" s="248">
        <v>0</v>
      </c>
      <c r="G14" s="248">
        <v>0</v>
      </c>
      <c r="H14" s="252">
        <v>0</v>
      </c>
      <c r="I14" s="262">
        <f t="shared" si="0"/>
        <v>0</v>
      </c>
      <c r="J14" s="260">
        <f t="shared" si="1"/>
        <v>0</v>
      </c>
    </row>
    <row r="15" spans="4:26" ht="15.75" thickBot="1" x14ac:dyDescent="0.3">
      <c r="D15" s="248">
        <v>0</v>
      </c>
      <c r="E15" s="248">
        <v>0</v>
      </c>
      <c r="F15" s="248">
        <v>0</v>
      </c>
      <c r="G15" s="248">
        <v>0</v>
      </c>
      <c r="H15" s="252">
        <v>0</v>
      </c>
      <c r="I15" s="262">
        <f t="shared" si="0"/>
        <v>0</v>
      </c>
      <c r="J15" s="260">
        <f t="shared" si="1"/>
        <v>0</v>
      </c>
    </row>
    <row r="16" spans="4:26" ht="15.75" thickBot="1" x14ac:dyDescent="0.3">
      <c r="D16" s="248">
        <v>0</v>
      </c>
      <c r="E16" s="248">
        <v>0</v>
      </c>
      <c r="F16" s="248">
        <v>0</v>
      </c>
      <c r="G16" s="248">
        <v>0</v>
      </c>
      <c r="H16" s="252">
        <v>0</v>
      </c>
      <c r="I16" s="262">
        <f t="shared" si="0"/>
        <v>0</v>
      </c>
      <c r="J16" s="260">
        <f t="shared" si="1"/>
        <v>0</v>
      </c>
    </row>
    <row r="17" spans="4:10" ht="15.75" thickBot="1" x14ac:dyDescent="0.3">
      <c r="D17" s="248">
        <v>0</v>
      </c>
      <c r="E17" s="248">
        <v>0</v>
      </c>
      <c r="F17" s="248">
        <v>0</v>
      </c>
      <c r="G17" s="248">
        <v>0</v>
      </c>
      <c r="H17" s="252">
        <v>0</v>
      </c>
      <c r="I17" s="262">
        <f t="shared" si="0"/>
        <v>0</v>
      </c>
      <c r="J17" s="260">
        <f t="shared" si="1"/>
        <v>0</v>
      </c>
    </row>
    <row r="18" spans="4:10" ht="15.75" thickBot="1" x14ac:dyDescent="0.3">
      <c r="D18" s="248">
        <v>0</v>
      </c>
      <c r="E18" s="248">
        <v>0</v>
      </c>
      <c r="F18" s="248">
        <v>0</v>
      </c>
      <c r="G18" s="248">
        <v>0</v>
      </c>
      <c r="H18" s="252">
        <v>0</v>
      </c>
      <c r="I18" s="262">
        <f t="shared" si="0"/>
        <v>0</v>
      </c>
      <c r="J18" s="260">
        <f t="shared" si="1"/>
        <v>0</v>
      </c>
    </row>
    <row r="19" spans="4:10" ht="15.75" thickBot="1" x14ac:dyDescent="0.3">
      <c r="D19" s="248">
        <v>0</v>
      </c>
      <c r="E19" s="248">
        <v>0</v>
      </c>
      <c r="F19" s="248">
        <v>0</v>
      </c>
      <c r="G19" s="248">
        <v>0</v>
      </c>
      <c r="H19" s="252">
        <v>0</v>
      </c>
      <c r="I19" s="262">
        <f t="shared" si="0"/>
        <v>0</v>
      </c>
      <c r="J19" s="260">
        <f t="shared" si="1"/>
        <v>0</v>
      </c>
    </row>
    <row r="20" spans="4:10" ht="15.75" thickBot="1" x14ac:dyDescent="0.3">
      <c r="D20" s="248">
        <v>0</v>
      </c>
      <c r="E20" s="248">
        <v>0</v>
      </c>
      <c r="F20" s="248">
        <v>0</v>
      </c>
      <c r="G20" s="248">
        <v>0</v>
      </c>
      <c r="H20" s="252">
        <v>0</v>
      </c>
      <c r="I20" s="262">
        <f t="shared" si="0"/>
        <v>0</v>
      </c>
      <c r="J20" s="260">
        <f t="shared" si="1"/>
        <v>0</v>
      </c>
    </row>
    <row r="21" spans="4:10" ht="15.75" thickBot="1" x14ac:dyDescent="0.3">
      <c r="D21" s="248">
        <v>0</v>
      </c>
      <c r="E21" s="248">
        <v>0</v>
      </c>
      <c r="F21" s="248">
        <v>0</v>
      </c>
      <c r="G21" s="248">
        <v>0</v>
      </c>
      <c r="H21" s="252">
        <v>0</v>
      </c>
      <c r="I21" s="262">
        <f t="shared" si="0"/>
        <v>0</v>
      </c>
      <c r="J21" s="260">
        <f t="shared" si="1"/>
        <v>0</v>
      </c>
    </row>
    <row r="22" spans="4:10" ht="15.75" thickBot="1" x14ac:dyDescent="0.3">
      <c r="D22" s="248">
        <v>0</v>
      </c>
      <c r="E22" s="248">
        <v>0</v>
      </c>
      <c r="F22" s="248">
        <v>0</v>
      </c>
      <c r="G22" s="248">
        <v>0</v>
      </c>
      <c r="H22" s="252">
        <v>0</v>
      </c>
      <c r="I22" s="262">
        <f t="shared" si="0"/>
        <v>0</v>
      </c>
      <c r="J22" s="260">
        <f t="shared" si="1"/>
        <v>0</v>
      </c>
    </row>
    <row r="23" spans="4:10" ht="15.75" thickBot="1" x14ac:dyDescent="0.3">
      <c r="D23" s="248">
        <v>0</v>
      </c>
      <c r="E23" s="248">
        <v>0</v>
      </c>
      <c r="F23" s="248">
        <v>0</v>
      </c>
      <c r="G23" s="248">
        <v>0</v>
      </c>
      <c r="H23" s="252">
        <v>0</v>
      </c>
      <c r="I23" s="262">
        <f t="shared" si="0"/>
        <v>0</v>
      </c>
      <c r="J23" s="260">
        <f t="shared" si="1"/>
        <v>0</v>
      </c>
    </row>
    <row r="24" spans="4:10" ht="15.75" thickBot="1" x14ac:dyDescent="0.3">
      <c r="D24" s="248">
        <v>0</v>
      </c>
      <c r="E24" s="248">
        <v>0</v>
      </c>
      <c r="F24" s="248">
        <v>0</v>
      </c>
      <c r="G24" s="248">
        <v>0</v>
      </c>
      <c r="H24" s="252">
        <v>0</v>
      </c>
      <c r="I24" s="262">
        <f t="shared" si="0"/>
        <v>0</v>
      </c>
      <c r="J24" s="260">
        <f t="shared" si="1"/>
        <v>0</v>
      </c>
    </row>
    <row r="25" spans="4:10" ht="15.75" thickBot="1" x14ac:dyDescent="0.3">
      <c r="D25" s="248">
        <v>0</v>
      </c>
      <c r="E25" s="248">
        <v>0</v>
      </c>
      <c r="F25" s="248">
        <v>0</v>
      </c>
      <c r="G25" s="248">
        <v>0</v>
      </c>
      <c r="H25" s="252">
        <v>0</v>
      </c>
      <c r="I25" s="262">
        <f t="shared" si="0"/>
        <v>0</v>
      </c>
      <c r="J25" s="260">
        <f t="shared" si="1"/>
        <v>0</v>
      </c>
    </row>
    <row r="26" spans="4:10" ht="15.75" thickBot="1" x14ac:dyDescent="0.3">
      <c r="D26" s="248">
        <v>0</v>
      </c>
      <c r="E26" s="248">
        <v>0</v>
      </c>
      <c r="F26" s="248">
        <v>0</v>
      </c>
      <c r="G26" s="248">
        <v>0</v>
      </c>
      <c r="H26" s="252">
        <v>0</v>
      </c>
      <c r="I26" s="262">
        <f t="shared" si="0"/>
        <v>0</v>
      </c>
      <c r="J26" s="260">
        <f t="shared" si="1"/>
        <v>0</v>
      </c>
    </row>
    <row r="27" spans="4:10" ht="15.75" thickBot="1" x14ac:dyDescent="0.3">
      <c r="D27" s="248">
        <v>0</v>
      </c>
      <c r="E27" s="248">
        <v>0</v>
      </c>
      <c r="F27" s="248">
        <v>0</v>
      </c>
      <c r="G27" s="248">
        <v>0</v>
      </c>
      <c r="H27" s="252">
        <v>0</v>
      </c>
      <c r="I27" s="262">
        <f t="shared" si="0"/>
        <v>0</v>
      </c>
      <c r="J27" s="260">
        <f t="shared" si="1"/>
        <v>0</v>
      </c>
    </row>
    <row r="28" spans="4:10" ht="15.75" thickBot="1" x14ac:dyDescent="0.3">
      <c r="D28" s="248">
        <v>0</v>
      </c>
      <c r="E28" s="248">
        <v>0</v>
      </c>
      <c r="F28" s="248">
        <v>0</v>
      </c>
      <c r="G28" s="248">
        <v>0</v>
      </c>
      <c r="H28" s="252">
        <v>0</v>
      </c>
      <c r="I28" s="262">
        <f t="shared" si="0"/>
        <v>0</v>
      </c>
      <c r="J28" s="260">
        <f t="shared" si="1"/>
        <v>0</v>
      </c>
    </row>
    <row r="29" spans="4:10" ht="15.75" thickBot="1" x14ac:dyDescent="0.3">
      <c r="D29" s="248">
        <v>0</v>
      </c>
      <c r="E29" s="248">
        <v>0</v>
      </c>
      <c r="F29" s="248">
        <v>0</v>
      </c>
      <c r="G29" s="248">
        <v>0</v>
      </c>
      <c r="H29" s="252">
        <v>0</v>
      </c>
      <c r="I29" s="262">
        <f t="shared" si="0"/>
        <v>0</v>
      </c>
      <c r="J29" s="260">
        <f t="shared" si="1"/>
        <v>0</v>
      </c>
    </row>
    <row r="30" spans="4:10" ht="15.75" thickBot="1" x14ac:dyDescent="0.3">
      <c r="D30" s="248">
        <v>0</v>
      </c>
      <c r="E30" s="248">
        <v>0</v>
      </c>
      <c r="F30" s="248">
        <v>0</v>
      </c>
      <c r="G30" s="248">
        <v>0</v>
      </c>
      <c r="H30" s="252">
        <v>0</v>
      </c>
      <c r="I30" s="262">
        <f t="shared" si="0"/>
        <v>0</v>
      </c>
      <c r="J30" s="260">
        <f t="shared" si="1"/>
        <v>0</v>
      </c>
    </row>
    <row r="31" spans="4:10" ht="15.75" thickBot="1" x14ac:dyDescent="0.3">
      <c r="D31" s="248">
        <v>0</v>
      </c>
      <c r="E31" s="248">
        <v>0</v>
      </c>
      <c r="F31" s="248">
        <v>0</v>
      </c>
      <c r="G31" s="248">
        <v>0</v>
      </c>
      <c r="H31" s="252">
        <v>0</v>
      </c>
      <c r="I31" s="262">
        <f t="shared" si="0"/>
        <v>0</v>
      </c>
      <c r="J31" s="260">
        <f t="shared" si="1"/>
        <v>0</v>
      </c>
    </row>
    <row r="32" spans="4:10" ht="15.75" thickBot="1" x14ac:dyDescent="0.3">
      <c r="D32" s="248">
        <v>0</v>
      </c>
      <c r="E32" s="248">
        <v>0</v>
      </c>
      <c r="F32" s="248">
        <v>0</v>
      </c>
      <c r="G32" s="248">
        <v>0</v>
      </c>
      <c r="H32" s="252">
        <v>0</v>
      </c>
      <c r="I32" s="262">
        <f t="shared" si="0"/>
        <v>0</v>
      </c>
      <c r="J32" s="260">
        <f t="shared" si="1"/>
        <v>0</v>
      </c>
    </row>
    <row r="33" spans="4:15" ht="15.75" thickBot="1" x14ac:dyDescent="0.3">
      <c r="D33" s="248">
        <v>0</v>
      </c>
      <c r="E33" s="248">
        <v>0</v>
      </c>
      <c r="F33" s="248">
        <v>0</v>
      </c>
      <c r="G33" s="248">
        <v>0</v>
      </c>
      <c r="H33" s="252">
        <v>0</v>
      </c>
      <c r="I33" s="262">
        <f t="shared" si="0"/>
        <v>0</v>
      </c>
      <c r="J33" s="260">
        <f t="shared" si="1"/>
        <v>0</v>
      </c>
    </row>
    <row r="34" spans="4:15" ht="15.75" thickBot="1" x14ac:dyDescent="0.3">
      <c r="D34" s="248">
        <v>0</v>
      </c>
      <c r="E34" s="248">
        <v>0</v>
      </c>
      <c r="F34" s="248">
        <v>0</v>
      </c>
      <c r="G34" s="248">
        <v>0</v>
      </c>
      <c r="H34" s="252">
        <v>0</v>
      </c>
      <c r="I34" s="262">
        <f t="shared" si="0"/>
        <v>0</v>
      </c>
      <c r="J34" s="260">
        <f t="shared" si="1"/>
        <v>0</v>
      </c>
    </row>
    <row r="35" spans="4:15" ht="15.75" thickBot="1" x14ac:dyDescent="0.3">
      <c r="D35" s="248">
        <v>0</v>
      </c>
      <c r="E35" s="248">
        <v>0</v>
      </c>
      <c r="F35" s="248">
        <v>0</v>
      </c>
      <c r="G35" s="248">
        <v>0</v>
      </c>
      <c r="H35" s="252">
        <v>0</v>
      </c>
      <c r="I35" s="262">
        <f t="shared" si="0"/>
        <v>0</v>
      </c>
      <c r="J35" s="260">
        <f t="shared" si="1"/>
        <v>0</v>
      </c>
    </row>
    <row r="36" spans="4:15" ht="15.75" thickBot="1" x14ac:dyDescent="0.3">
      <c r="D36" s="248">
        <v>0</v>
      </c>
      <c r="E36" s="248">
        <v>0</v>
      </c>
      <c r="F36" s="248">
        <v>0</v>
      </c>
      <c r="G36" s="248">
        <v>0</v>
      </c>
      <c r="H36" s="252">
        <v>0</v>
      </c>
      <c r="I36" s="262">
        <f t="shared" si="0"/>
        <v>0</v>
      </c>
      <c r="J36" s="260">
        <f t="shared" si="1"/>
        <v>0</v>
      </c>
    </row>
    <row r="37" spans="4:15" ht="15.75" thickBot="1" x14ac:dyDescent="0.3">
      <c r="D37" s="248">
        <v>0</v>
      </c>
      <c r="E37" s="248">
        <v>0</v>
      </c>
      <c r="F37" s="248">
        <v>0</v>
      </c>
      <c r="G37" s="248">
        <v>0</v>
      </c>
      <c r="H37" s="252">
        <v>0</v>
      </c>
      <c r="I37" s="262">
        <f t="shared" si="0"/>
        <v>0</v>
      </c>
      <c r="J37" s="260">
        <f t="shared" si="1"/>
        <v>0</v>
      </c>
    </row>
    <row r="38" spans="4:15" ht="15.75" thickBot="1" x14ac:dyDescent="0.3">
      <c r="D38" s="248">
        <v>0</v>
      </c>
      <c r="E38" s="248">
        <v>0</v>
      </c>
      <c r="F38" s="248">
        <v>0</v>
      </c>
      <c r="G38" s="248">
        <v>0</v>
      </c>
      <c r="H38" s="252">
        <v>0</v>
      </c>
      <c r="I38" s="262">
        <f t="shared" si="0"/>
        <v>0</v>
      </c>
      <c r="J38" s="260">
        <f t="shared" si="1"/>
        <v>0</v>
      </c>
    </row>
    <row r="39" spans="4:15" ht="15.75" thickBot="1" x14ac:dyDescent="0.3">
      <c r="D39" s="248">
        <v>0</v>
      </c>
      <c r="E39" s="248">
        <v>0</v>
      </c>
      <c r="F39" s="248">
        <v>0</v>
      </c>
      <c r="G39" s="248">
        <v>0</v>
      </c>
      <c r="H39" s="252">
        <v>0</v>
      </c>
      <c r="I39" s="262">
        <f t="shared" si="0"/>
        <v>0</v>
      </c>
      <c r="J39" s="260">
        <f t="shared" si="1"/>
        <v>0</v>
      </c>
    </row>
    <row r="40" spans="4:15" ht="15.75" thickBot="1" x14ac:dyDescent="0.3">
      <c r="D40" s="248">
        <v>0</v>
      </c>
      <c r="E40" s="248">
        <v>0</v>
      </c>
      <c r="F40" s="248">
        <v>0</v>
      </c>
      <c r="G40" s="248">
        <v>0</v>
      </c>
      <c r="H40" s="252">
        <v>0</v>
      </c>
      <c r="I40" s="262">
        <f t="shared" si="0"/>
        <v>0</v>
      </c>
      <c r="J40" s="260">
        <f t="shared" si="1"/>
        <v>0</v>
      </c>
    </row>
    <row r="41" spans="4:15" ht="15.75" thickBot="1" x14ac:dyDescent="0.3">
      <c r="D41" s="248">
        <v>0</v>
      </c>
      <c r="E41" s="248">
        <v>0</v>
      </c>
      <c r="F41" s="248">
        <v>0</v>
      </c>
      <c r="G41" s="248">
        <v>0</v>
      </c>
      <c r="H41" s="252">
        <v>0</v>
      </c>
      <c r="I41" s="262">
        <f t="shared" si="0"/>
        <v>0</v>
      </c>
      <c r="J41" s="260">
        <f t="shared" si="1"/>
        <v>0</v>
      </c>
    </row>
    <row r="42" spans="4:15" ht="15.75" thickBot="1" x14ac:dyDescent="0.3">
      <c r="D42" s="248">
        <v>0</v>
      </c>
      <c r="E42" s="248">
        <v>0</v>
      </c>
      <c r="F42" s="248">
        <v>0</v>
      </c>
      <c r="G42" s="248">
        <v>0</v>
      </c>
      <c r="H42" s="252">
        <v>0</v>
      </c>
      <c r="I42" s="262">
        <f t="shared" si="0"/>
        <v>0</v>
      </c>
      <c r="J42" s="260">
        <f t="shared" si="1"/>
        <v>0</v>
      </c>
    </row>
    <row r="43" spans="4:15" ht="15.75" thickBot="1" x14ac:dyDescent="0.3">
      <c r="D43" s="248">
        <v>0</v>
      </c>
      <c r="E43" s="248">
        <v>0</v>
      </c>
      <c r="F43" s="248">
        <v>0</v>
      </c>
      <c r="G43" s="248">
        <v>0</v>
      </c>
      <c r="H43" s="252">
        <v>0</v>
      </c>
      <c r="I43" s="262">
        <f t="shared" si="0"/>
        <v>0</v>
      </c>
      <c r="J43" s="260">
        <f t="shared" si="1"/>
        <v>0</v>
      </c>
    </row>
    <row r="44" spans="4:15" ht="15.75" thickBot="1" x14ac:dyDescent="0.3">
      <c r="D44" s="248">
        <v>0</v>
      </c>
      <c r="E44" s="248">
        <v>0</v>
      </c>
      <c r="F44" s="248">
        <v>0</v>
      </c>
      <c r="G44" s="248">
        <v>0</v>
      </c>
      <c r="H44" s="252">
        <v>0</v>
      </c>
      <c r="I44" s="262">
        <f t="shared" si="0"/>
        <v>0</v>
      </c>
      <c r="J44" s="260">
        <f t="shared" si="1"/>
        <v>0</v>
      </c>
    </row>
    <row r="45" spans="4:15" ht="15.75" thickBot="1" x14ac:dyDescent="0.3">
      <c r="D45" s="248">
        <v>0</v>
      </c>
      <c r="E45" s="248">
        <v>0</v>
      </c>
      <c r="F45" s="248">
        <v>0</v>
      </c>
      <c r="G45" s="248">
        <v>0</v>
      </c>
      <c r="H45" s="252">
        <v>0</v>
      </c>
      <c r="I45" s="262">
        <f t="shared" si="0"/>
        <v>0</v>
      </c>
      <c r="J45" s="260">
        <f t="shared" si="1"/>
        <v>0</v>
      </c>
    </row>
    <row r="46" spans="4:15" ht="15.75" thickBot="1" x14ac:dyDescent="0.3">
      <c r="D46" s="248">
        <v>0</v>
      </c>
      <c r="E46" s="248">
        <v>0</v>
      </c>
      <c r="F46" s="248">
        <v>0</v>
      </c>
      <c r="G46" s="248">
        <v>0</v>
      </c>
      <c r="H46" s="252">
        <v>0</v>
      </c>
      <c r="I46" s="262">
        <f t="shared" si="0"/>
        <v>0</v>
      </c>
      <c r="J46" s="260">
        <f t="shared" si="1"/>
        <v>0</v>
      </c>
    </row>
    <row r="47" spans="4:15" ht="15.75" thickBot="1" x14ac:dyDescent="0.3">
      <c r="D47" s="248">
        <v>0</v>
      </c>
      <c r="E47" s="248">
        <v>0</v>
      </c>
      <c r="F47" s="248">
        <v>0</v>
      </c>
      <c r="G47" s="248">
        <v>0</v>
      </c>
      <c r="H47" s="252">
        <v>0</v>
      </c>
      <c r="I47" s="262">
        <f t="shared" si="0"/>
        <v>0</v>
      </c>
      <c r="J47" s="260">
        <f t="shared" si="1"/>
        <v>0</v>
      </c>
    </row>
    <row r="48" spans="4:15" ht="15.75" thickBot="1" x14ac:dyDescent="0.3">
      <c r="D48" s="248">
        <v>0</v>
      </c>
      <c r="E48" s="248">
        <v>0</v>
      </c>
      <c r="F48" s="248">
        <v>0</v>
      </c>
      <c r="G48" s="248">
        <v>0</v>
      </c>
      <c r="H48" s="252">
        <v>0</v>
      </c>
      <c r="I48" s="262">
        <f t="shared" si="0"/>
        <v>0</v>
      </c>
      <c r="J48" s="260">
        <f t="shared" si="1"/>
        <v>0</v>
      </c>
      <c r="O48" s="233"/>
    </row>
    <row r="49" spans="4:10" ht="15.75" thickBot="1" x14ac:dyDescent="0.3">
      <c r="D49" s="248">
        <v>0</v>
      </c>
      <c r="E49" s="248">
        <v>0</v>
      </c>
      <c r="F49" s="248">
        <v>0</v>
      </c>
      <c r="G49" s="248">
        <v>0</v>
      </c>
      <c r="H49" s="252">
        <v>0</v>
      </c>
      <c r="I49" s="262">
        <f t="shared" si="0"/>
        <v>0</v>
      </c>
      <c r="J49" s="260">
        <f t="shared" si="1"/>
        <v>0</v>
      </c>
    </row>
    <row r="50" spans="4:10" ht="15.75" thickBot="1" x14ac:dyDescent="0.3">
      <c r="D50" s="248">
        <v>0</v>
      </c>
      <c r="E50" s="248">
        <v>0</v>
      </c>
      <c r="F50" s="248">
        <v>0</v>
      </c>
      <c r="G50" s="248">
        <v>0</v>
      </c>
      <c r="H50" s="252">
        <v>0</v>
      </c>
      <c r="I50" s="262">
        <f t="shared" si="0"/>
        <v>0</v>
      </c>
      <c r="J50" s="260">
        <f t="shared" si="1"/>
        <v>0</v>
      </c>
    </row>
    <row r="51" spans="4:10" ht="15.75" thickBot="1" x14ac:dyDescent="0.3">
      <c r="D51" s="248">
        <v>0</v>
      </c>
      <c r="E51" s="248">
        <v>0</v>
      </c>
      <c r="F51" s="248">
        <v>0</v>
      </c>
      <c r="G51" s="248">
        <v>0</v>
      </c>
      <c r="H51" s="252">
        <v>0</v>
      </c>
      <c r="I51" s="262">
        <f t="shared" si="0"/>
        <v>0</v>
      </c>
      <c r="J51" s="260">
        <f t="shared" si="1"/>
        <v>0</v>
      </c>
    </row>
    <row r="52" spans="4:10" ht="15.75" thickBot="1" x14ac:dyDescent="0.3">
      <c r="D52" s="248">
        <v>0</v>
      </c>
      <c r="E52" s="248">
        <v>0</v>
      </c>
      <c r="F52" s="248">
        <v>0</v>
      </c>
      <c r="G52" s="248">
        <v>0</v>
      </c>
      <c r="H52" s="252">
        <v>0</v>
      </c>
      <c r="I52" s="262">
        <f t="shared" si="0"/>
        <v>0</v>
      </c>
      <c r="J52" s="260">
        <f t="shared" si="1"/>
        <v>0</v>
      </c>
    </row>
    <row r="53" spans="4:10" ht="15.75" thickBot="1" x14ac:dyDescent="0.3">
      <c r="D53" s="248">
        <v>0</v>
      </c>
      <c r="E53" s="248">
        <v>0</v>
      </c>
      <c r="F53" s="248">
        <v>0</v>
      </c>
      <c r="G53" s="248">
        <v>0</v>
      </c>
      <c r="H53" s="252">
        <v>0</v>
      </c>
      <c r="I53" s="262">
        <f t="shared" si="0"/>
        <v>0</v>
      </c>
      <c r="J53" s="260">
        <f t="shared" si="1"/>
        <v>0</v>
      </c>
    </row>
    <row r="54" spans="4:10" ht="15.75" thickBot="1" x14ac:dyDescent="0.3">
      <c r="D54" s="248">
        <v>0</v>
      </c>
      <c r="E54" s="248">
        <v>0</v>
      </c>
      <c r="F54" s="248">
        <v>0</v>
      </c>
      <c r="G54" s="248">
        <v>0</v>
      </c>
      <c r="H54" s="252">
        <v>0</v>
      </c>
      <c r="I54" s="262">
        <f t="shared" si="0"/>
        <v>0</v>
      </c>
      <c r="J54" s="260">
        <f t="shared" si="1"/>
        <v>0</v>
      </c>
    </row>
    <row r="55" spans="4:10" ht="15.75" thickBot="1" x14ac:dyDescent="0.3">
      <c r="D55" s="248">
        <v>0</v>
      </c>
      <c r="E55" s="248">
        <v>0</v>
      </c>
      <c r="F55" s="248">
        <v>0</v>
      </c>
      <c r="G55" s="248">
        <v>0</v>
      </c>
      <c r="H55" s="252">
        <v>0</v>
      </c>
      <c r="I55" s="262">
        <f t="shared" si="0"/>
        <v>0</v>
      </c>
      <c r="J55" s="260">
        <f t="shared" si="1"/>
        <v>0</v>
      </c>
    </row>
    <row r="56" spans="4:10" ht="15.75" thickBot="1" x14ac:dyDescent="0.3">
      <c r="D56" s="248">
        <v>0</v>
      </c>
      <c r="E56" s="248">
        <v>0</v>
      </c>
      <c r="F56" s="248">
        <v>0</v>
      </c>
      <c r="G56" s="248">
        <v>0</v>
      </c>
      <c r="H56" s="252">
        <v>0</v>
      </c>
      <c r="I56" s="262">
        <f t="shared" si="0"/>
        <v>0</v>
      </c>
      <c r="J56" s="260">
        <f t="shared" si="1"/>
        <v>0</v>
      </c>
    </row>
    <row r="57" spans="4:10" ht="15.75" thickBot="1" x14ac:dyDescent="0.3">
      <c r="D57" s="248">
        <v>0</v>
      </c>
      <c r="E57" s="248">
        <v>0</v>
      </c>
      <c r="F57" s="248">
        <v>0</v>
      </c>
      <c r="G57" s="248">
        <v>0</v>
      </c>
      <c r="H57" s="252">
        <v>0</v>
      </c>
      <c r="I57" s="262">
        <f t="shared" si="0"/>
        <v>0</v>
      </c>
      <c r="J57" s="260">
        <f t="shared" si="1"/>
        <v>0</v>
      </c>
    </row>
    <row r="58" spans="4:10" ht="15.75" thickBot="1" x14ac:dyDescent="0.3">
      <c r="D58" s="248">
        <v>0</v>
      </c>
      <c r="E58" s="248">
        <v>0</v>
      </c>
      <c r="F58" s="248">
        <v>0</v>
      </c>
      <c r="G58" s="248">
        <v>0</v>
      </c>
      <c r="H58" s="252">
        <v>0</v>
      </c>
      <c r="I58" s="262">
        <f t="shared" si="0"/>
        <v>0</v>
      </c>
      <c r="J58" s="260">
        <f t="shared" si="1"/>
        <v>0</v>
      </c>
    </row>
    <row r="59" spans="4:10" ht="15.75" thickBot="1" x14ac:dyDescent="0.3">
      <c r="D59" s="248">
        <v>0</v>
      </c>
      <c r="E59" s="248">
        <v>0</v>
      </c>
      <c r="F59" s="248">
        <v>0</v>
      </c>
      <c r="G59" s="248">
        <v>0</v>
      </c>
      <c r="H59" s="252">
        <v>0</v>
      </c>
      <c r="I59" s="262">
        <f t="shared" si="0"/>
        <v>0</v>
      </c>
      <c r="J59" s="260">
        <f t="shared" si="1"/>
        <v>0</v>
      </c>
    </row>
    <row r="60" spans="4:10" ht="15.75" thickBot="1" x14ac:dyDescent="0.3">
      <c r="D60" s="248">
        <v>0</v>
      </c>
      <c r="E60" s="248">
        <v>0</v>
      </c>
      <c r="F60" s="248">
        <v>0</v>
      </c>
      <c r="G60" s="248">
        <v>0</v>
      </c>
      <c r="H60" s="252">
        <v>0</v>
      </c>
      <c r="I60" s="262">
        <f t="shared" si="0"/>
        <v>0</v>
      </c>
      <c r="J60" s="260">
        <f t="shared" si="1"/>
        <v>0</v>
      </c>
    </row>
    <row r="61" spans="4:10" ht="15.75" thickBot="1" x14ac:dyDescent="0.3">
      <c r="D61" s="248">
        <v>0</v>
      </c>
      <c r="E61" s="248">
        <v>0</v>
      </c>
      <c r="F61" s="248">
        <v>0</v>
      </c>
      <c r="G61" s="248">
        <v>0</v>
      </c>
      <c r="H61" s="252">
        <v>0</v>
      </c>
      <c r="I61" s="262">
        <f t="shared" si="0"/>
        <v>0</v>
      </c>
      <c r="J61" s="260">
        <f t="shared" si="1"/>
        <v>0</v>
      </c>
    </row>
    <row r="62" spans="4:10" ht="15.75" thickBot="1" x14ac:dyDescent="0.3">
      <c r="D62" s="248">
        <v>0</v>
      </c>
      <c r="E62" s="248">
        <v>0</v>
      </c>
      <c r="F62" s="248">
        <v>0</v>
      </c>
      <c r="G62" s="248">
        <v>0</v>
      </c>
      <c r="H62" s="252">
        <v>0</v>
      </c>
      <c r="I62" s="262">
        <f t="shared" si="0"/>
        <v>0</v>
      </c>
      <c r="J62" s="260">
        <f t="shared" si="1"/>
        <v>0</v>
      </c>
    </row>
    <row r="63" spans="4:10" ht="15.75" thickBot="1" x14ac:dyDescent="0.3">
      <c r="D63" s="248">
        <v>0</v>
      </c>
      <c r="E63" s="248">
        <v>0</v>
      </c>
      <c r="F63" s="248">
        <v>0</v>
      </c>
      <c r="G63" s="248">
        <v>0</v>
      </c>
      <c r="H63" s="252">
        <v>0</v>
      </c>
      <c r="I63" s="262">
        <f t="shared" si="0"/>
        <v>0</v>
      </c>
      <c r="J63" s="260">
        <f t="shared" si="1"/>
        <v>0</v>
      </c>
    </row>
    <row r="64" spans="4:10" ht="15.75" thickBot="1" x14ac:dyDescent="0.3">
      <c r="D64" s="248">
        <v>0</v>
      </c>
      <c r="E64" s="248">
        <v>0</v>
      </c>
      <c r="F64" s="248">
        <v>0</v>
      </c>
      <c r="G64" s="248">
        <v>0</v>
      </c>
      <c r="H64" s="252">
        <v>0</v>
      </c>
      <c r="I64" s="262">
        <f t="shared" si="0"/>
        <v>0</v>
      </c>
      <c r="J64" s="260">
        <f t="shared" si="1"/>
        <v>0</v>
      </c>
    </row>
    <row r="65" spans="4:10" ht="15.75" thickBot="1" x14ac:dyDescent="0.3">
      <c r="D65" s="248">
        <v>0</v>
      </c>
      <c r="E65" s="248">
        <v>0</v>
      </c>
      <c r="F65" s="248">
        <v>0</v>
      </c>
      <c r="G65" s="248">
        <v>0</v>
      </c>
      <c r="H65" s="252">
        <v>0</v>
      </c>
      <c r="I65" s="262">
        <f t="shared" si="0"/>
        <v>0</v>
      </c>
      <c r="J65" s="260">
        <f t="shared" si="1"/>
        <v>0</v>
      </c>
    </row>
    <row r="66" spans="4:10" ht="15.75" thickBot="1" x14ac:dyDescent="0.3">
      <c r="D66" s="248">
        <v>0</v>
      </c>
      <c r="E66" s="248">
        <v>0</v>
      </c>
      <c r="F66" s="248">
        <v>0</v>
      </c>
      <c r="G66" s="248">
        <v>0</v>
      </c>
      <c r="H66" s="252">
        <v>0</v>
      </c>
      <c r="I66" s="262">
        <f t="shared" si="0"/>
        <v>0</v>
      </c>
      <c r="J66" s="260">
        <f t="shared" si="1"/>
        <v>0</v>
      </c>
    </row>
    <row r="67" spans="4:10" ht="15.75" thickBot="1" x14ac:dyDescent="0.3">
      <c r="D67" s="248">
        <v>0</v>
      </c>
      <c r="E67" s="248">
        <v>0</v>
      </c>
      <c r="F67" s="248">
        <v>0</v>
      </c>
      <c r="G67" s="248">
        <v>0</v>
      </c>
      <c r="H67" s="252">
        <v>0</v>
      </c>
      <c r="I67" s="262">
        <f t="shared" si="0"/>
        <v>0</v>
      </c>
      <c r="J67" s="260">
        <f t="shared" si="1"/>
        <v>0</v>
      </c>
    </row>
    <row r="68" spans="4:10" ht="15.75" thickBot="1" x14ac:dyDescent="0.3">
      <c r="D68" s="248">
        <v>0</v>
      </c>
      <c r="E68" s="248">
        <v>0</v>
      </c>
      <c r="F68" s="248">
        <v>0</v>
      </c>
      <c r="G68" s="248">
        <v>0</v>
      </c>
      <c r="H68" s="252">
        <v>0</v>
      </c>
      <c r="I68" s="262">
        <f t="shared" si="0"/>
        <v>0</v>
      </c>
      <c r="J68" s="260">
        <f t="shared" si="1"/>
        <v>0</v>
      </c>
    </row>
    <row r="69" spans="4:10" ht="15.75" thickBot="1" x14ac:dyDescent="0.3">
      <c r="D69" s="248">
        <v>0</v>
      </c>
      <c r="E69" s="248">
        <v>0</v>
      </c>
      <c r="F69" s="248">
        <v>0</v>
      </c>
      <c r="G69" s="248">
        <v>0</v>
      </c>
      <c r="H69" s="252">
        <v>0</v>
      </c>
      <c r="I69" s="262">
        <f t="shared" si="0"/>
        <v>0</v>
      </c>
      <c r="J69" s="260">
        <f t="shared" si="1"/>
        <v>0</v>
      </c>
    </row>
    <row r="70" spans="4:10" ht="15.75" thickBot="1" x14ac:dyDescent="0.3">
      <c r="D70" s="248">
        <v>0</v>
      </c>
      <c r="E70" s="248">
        <v>0</v>
      </c>
      <c r="F70" s="248">
        <v>0</v>
      </c>
      <c r="G70" s="248">
        <v>0</v>
      </c>
      <c r="H70" s="252">
        <v>0</v>
      </c>
      <c r="I70" s="262">
        <f t="shared" si="0"/>
        <v>0</v>
      </c>
      <c r="J70" s="260">
        <f t="shared" si="1"/>
        <v>0</v>
      </c>
    </row>
    <row r="71" spans="4:10" ht="15.75" thickBot="1" x14ac:dyDescent="0.3">
      <c r="D71" s="248">
        <v>0</v>
      </c>
      <c r="E71" s="248">
        <v>0</v>
      </c>
      <c r="F71" s="248">
        <v>0</v>
      </c>
      <c r="G71" s="248">
        <v>0</v>
      </c>
      <c r="H71" s="252">
        <v>0</v>
      </c>
      <c r="I71" s="262">
        <f t="shared" ref="I71:I129" si="2">(D71*E71*F71*G71)/10^6</f>
        <v>0</v>
      </c>
      <c r="J71" s="260">
        <f t="shared" si="1"/>
        <v>0</v>
      </c>
    </row>
    <row r="72" spans="4:10" ht="15.75" thickBot="1" x14ac:dyDescent="0.3">
      <c r="D72" s="248">
        <v>0</v>
      </c>
      <c r="E72" s="248">
        <v>0</v>
      </c>
      <c r="F72" s="248">
        <v>0</v>
      </c>
      <c r="G72" s="248">
        <v>0</v>
      </c>
      <c r="H72" s="252">
        <v>0</v>
      </c>
      <c r="I72" s="262">
        <f t="shared" si="2"/>
        <v>0</v>
      </c>
      <c r="J72" s="260">
        <f t="shared" si="1"/>
        <v>0</v>
      </c>
    </row>
    <row r="73" spans="4:10" ht="15.75" thickBot="1" x14ac:dyDescent="0.3">
      <c r="D73" s="248">
        <v>0</v>
      </c>
      <c r="E73" s="248">
        <v>0</v>
      </c>
      <c r="F73" s="248">
        <v>0</v>
      </c>
      <c r="G73" s="248">
        <v>0</v>
      </c>
      <c r="H73" s="252">
        <v>0</v>
      </c>
      <c r="I73" s="262">
        <f t="shared" si="2"/>
        <v>0</v>
      </c>
      <c r="J73" s="260">
        <f t="shared" si="1"/>
        <v>0</v>
      </c>
    </row>
    <row r="74" spans="4:10" ht="15.75" thickBot="1" x14ac:dyDescent="0.3">
      <c r="D74" s="248">
        <v>0</v>
      </c>
      <c r="E74" s="248">
        <v>0</v>
      </c>
      <c r="F74" s="248">
        <v>0</v>
      </c>
      <c r="G74" s="248">
        <v>0</v>
      </c>
      <c r="H74" s="252">
        <v>0</v>
      </c>
      <c r="I74" s="262">
        <f t="shared" si="2"/>
        <v>0</v>
      </c>
      <c r="J74" s="260">
        <f t="shared" si="1"/>
        <v>0</v>
      </c>
    </row>
    <row r="75" spans="4:10" ht="15.75" thickBot="1" x14ac:dyDescent="0.3">
      <c r="D75" s="248">
        <v>0</v>
      </c>
      <c r="E75" s="248">
        <v>0</v>
      </c>
      <c r="F75" s="248">
        <v>0</v>
      </c>
      <c r="G75" s="248">
        <v>0</v>
      </c>
      <c r="H75" s="252">
        <v>0</v>
      </c>
      <c r="I75" s="262">
        <f t="shared" si="2"/>
        <v>0</v>
      </c>
      <c r="J75" s="260">
        <f t="shared" si="1"/>
        <v>0</v>
      </c>
    </row>
    <row r="76" spans="4:10" ht="15.75" thickBot="1" x14ac:dyDescent="0.3">
      <c r="D76" s="248">
        <v>0</v>
      </c>
      <c r="E76" s="248">
        <v>0</v>
      </c>
      <c r="F76" s="248">
        <v>0</v>
      </c>
      <c r="G76" s="248">
        <v>0</v>
      </c>
      <c r="H76" s="252">
        <v>0</v>
      </c>
      <c r="I76" s="262">
        <f t="shared" si="2"/>
        <v>0</v>
      </c>
      <c r="J76" s="260">
        <f t="shared" si="1"/>
        <v>0</v>
      </c>
    </row>
    <row r="77" spans="4:10" ht="15.75" thickBot="1" x14ac:dyDescent="0.3">
      <c r="D77" s="248">
        <v>0</v>
      </c>
      <c r="E77" s="248">
        <v>0</v>
      </c>
      <c r="F77" s="248">
        <v>0</v>
      </c>
      <c r="G77" s="248">
        <v>0</v>
      </c>
      <c r="H77" s="252">
        <v>0</v>
      </c>
      <c r="I77" s="262">
        <f t="shared" si="2"/>
        <v>0</v>
      </c>
      <c r="J77" s="260">
        <f t="shared" si="1"/>
        <v>0</v>
      </c>
    </row>
    <row r="78" spans="4:10" ht="15.75" thickBot="1" x14ac:dyDescent="0.3">
      <c r="D78" s="248">
        <v>0</v>
      </c>
      <c r="E78" s="248">
        <v>0</v>
      </c>
      <c r="F78" s="248">
        <v>0</v>
      </c>
      <c r="G78" s="248">
        <v>0</v>
      </c>
      <c r="H78" s="252">
        <v>0</v>
      </c>
      <c r="I78" s="262">
        <f t="shared" si="2"/>
        <v>0</v>
      </c>
      <c r="J78" s="260">
        <f t="shared" si="1"/>
        <v>0</v>
      </c>
    </row>
    <row r="79" spans="4:10" ht="15.75" thickBot="1" x14ac:dyDescent="0.3">
      <c r="D79" s="248">
        <v>0</v>
      </c>
      <c r="E79" s="248">
        <v>0</v>
      </c>
      <c r="F79" s="248">
        <v>0</v>
      </c>
      <c r="G79" s="248">
        <v>0</v>
      </c>
      <c r="H79" s="252">
        <v>0</v>
      </c>
      <c r="I79" s="262">
        <f t="shared" si="2"/>
        <v>0</v>
      </c>
      <c r="J79" s="260">
        <f t="shared" si="1"/>
        <v>0</v>
      </c>
    </row>
    <row r="80" spans="4:10" ht="15.75" thickBot="1" x14ac:dyDescent="0.3">
      <c r="D80" s="248">
        <v>0</v>
      </c>
      <c r="E80" s="248">
        <v>0</v>
      </c>
      <c r="F80" s="248">
        <v>0</v>
      </c>
      <c r="G80" s="248">
        <v>0</v>
      </c>
      <c r="H80" s="252">
        <v>0</v>
      </c>
      <c r="I80" s="262">
        <f t="shared" si="2"/>
        <v>0</v>
      </c>
      <c r="J80" s="260">
        <f t="shared" si="1"/>
        <v>0</v>
      </c>
    </row>
    <row r="81" spans="4:10" ht="15.75" thickBot="1" x14ac:dyDescent="0.3">
      <c r="D81" s="248">
        <v>0</v>
      </c>
      <c r="E81" s="248">
        <v>0</v>
      </c>
      <c r="F81" s="248">
        <v>0</v>
      </c>
      <c r="G81" s="248">
        <v>0</v>
      </c>
      <c r="H81" s="252">
        <v>0</v>
      </c>
      <c r="I81" s="262">
        <f t="shared" si="2"/>
        <v>0</v>
      </c>
      <c r="J81" s="260">
        <f t="shared" si="1"/>
        <v>0</v>
      </c>
    </row>
    <row r="82" spans="4:10" ht="15.75" thickBot="1" x14ac:dyDescent="0.3">
      <c r="D82" s="248">
        <v>0</v>
      </c>
      <c r="E82" s="248">
        <v>0</v>
      </c>
      <c r="F82" s="248">
        <v>0</v>
      </c>
      <c r="G82" s="248">
        <v>0</v>
      </c>
      <c r="H82" s="252">
        <v>0</v>
      </c>
      <c r="I82" s="262">
        <f t="shared" si="2"/>
        <v>0</v>
      </c>
      <c r="J82" s="260">
        <f t="shared" si="1"/>
        <v>0</v>
      </c>
    </row>
    <row r="83" spans="4:10" ht="15.75" thickBot="1" x14ac:dyDescent="0.3">
      <c r="D83" s="248">
        <v>0</v>
      </c>
      <c r="E83" s="248">
        <v>0</v>
      </c>
      <c r="F83" s="248">
        <v>0</v>
      </c>
      <c r="G83" s="248">
        <v>0</v>
      </c>
      <c r="H83" s="252">
        <v>0</v>
      </c>
      <c r="I83" s="262">
        <f t="shared" si="2"/>
        <v>0</v>
      </c>
      <c r="J83" s="260">
        <f t="shared" si="1"/>
        <v>0</v>
      </c>
    </row>
    <row r="84" spans="4:10" ht="15.75" thickBot="1" x14ac:dyDescent="0.3">
      <c r="D84" s="248">
        <v>0</v>
      </c>
      <c r="E84" s="248">
        <v>0</v>
      </c>
      <c r="F84" s="248">
        <v>0</v>
      </c>
      <c r="G84" s="248">
        <v>0</v>
      </c>
      <c r="H84" s="252">
        <v>0</v>
      </c>
      <c r="I84" s="262">
        <f t="shared" si="2"/>
        <v>0</v>
      </c>
      <c r="J84" s="260">
        <f t="shared" si="1"/>
        <v>0</v>
      </c>
    </row>
    <row r="85" spans="4:10" ht="15.75" thickBot="1" x14ac:dyDescent="0.3">
      <c r="D85" s="248">
        <v>0</v>
      </c>
      <c r="E85" s="248">
        <v>0</v>
      </c>
      <c r="F85" s="248">
        <v>0</v>
      </c>
      <c r="G85" s="248">
        <v>0</v>
      </c>
      <c r="H85" s="252">
        <v>0</v>
      </c>
      <c r="I85" s="262">
        <f t="shared" si="2"/>
        <v>0</v>
      </c>
      <c r="J85" s="260">
        <f t="shared" si="1"/>
        <v>0</v>
      </c>
    </row>
    <row r="86" spans="4:10" ht="15.75" thickBot="1" x14ac:dyDescent="0.3">
      <c r="D86" s="248">
        <v>0</v>
      </c>
      <c r="E86" s="248">
        <v>0</v>
      </c>
      <c r="F86" s="248">
        <v>0</v>
      </c>
      <c r="G86" s="248">
        <v>0</v>
      </c>
      <c r="H86" s="252">
        <v>0</v>
      </c>
      <c r="I86" s="262">
        <f t="shared" si="2"/>
        <v>0</v>
      </c>
      <c r="J86" s="260">
        <f t="shared" si="1"/>
        <v>0</v>
      </c>
    </row>
    <row r="87" spans="4:10" ht="15.75" thickBot="1" x14ac:dyDescent="0.3">
      <c r="D87" s="248">
        <v>0</v>
      </c>
      <c r="E87" s="248">
        <v>0</v>
      </c>
      <c r="F87" s="248">
        <v>0</v>
      </c>
      <c r="G87" s="248">
        <v>0</v>
      </c>
      <c r="H87" s="252">
        <v>0</v>
      </c>
      <c r="I87" s="262">
        <f t="shared" si="2"/>
        <v>0</v>
      </c>
      <c r="J87" s="260">
        <f t="shared" si="1"/>
        <v>0</v>
      </c>
    </row>
    <row r="88" spans="4:10" ht="15.75" thickBot="1" x14ac:dyDescent="0.3">
      <c r="D88" s="248">
        <v>0</v>
      </c>
      <c r="E88" s="248">
        <v>0</v>
      </c>
      <c r="F88" s="248">
        <v>0</v>
      </c>
      <c r="G88" s="248">
        <v>0</v>
      </c>
      <c r="H88" s="252">
        <v>0</v>
      </c>
      <c r="I88" s="262">
        <f t="shared" si="2"/>
        <v>0</v>
      </c>
      <c r="J88" s="260">
        <f t="shared" si="1"/>
        <v>0</v>
      </c>
    </row>
    <row r="89" spans="4:10" ht="15.75" thickBot="1" x14ac:dyDescent="0.3">
      <c r="D89" s="248">
        <v>0</v>
      </c>
      <c r="E89" s="248">
        <v>0</v>
      </c>
      <c r="F89" s="248">
        <v>0</v>
      </c>
      <c r="G89" s="248">
        <v>0</v>
      </c>
      <c r="H89" s="252">
        <v>0</v>
      </c>
      <c r="I89" s="262">
        <f t="shared" si="2"/>
        <v>0</v>
      </c>
      <c r="J89" s="260">
        <f t="shared" si="1"/>
        <v>0</v>
      </c>
    </row>
    <row r="90" spans="4:10" ht="15.75" thickBot="1" x14ac:dyDescent="0.3">
      <c r="D90" s="248">
        <v>0</v>
      </c>
      <c r="E90" s="248">
        <v>0</v>
      </c>
      <c r="F90" s="248">
        <v>0</v>
      </c>
      <c r="G90" s="248">
        <v>0</v>
      </c>
      <c r="H90" s="252">
        <v>0</v>
      </c>
      <c r="I90" s="262">
        <f t="shared" si="2"/>
        <v>0</v>
      </c>
      <c r="J90" s="260">
        <f t="shared" si="1"/>
        <v>0</v>
      </c>
    </row>
    <row r="91" spans="4:10" ht="15.75" thickBot="1" x14ac:dyDescent="0.3">
      <c r="D91" s="248">
        <v>0</v>
      </c>
      <c r="E91" s="248">
        <v>0</v>
      </c>
      <c r="F91" s="248">
        <v>0</v>
      </c>
      <c r="G91" s="248">
        <v>0</v>
      </c>
      <c r="H91" s="252">
        <v>0</v>
      </c>
      <c r="I91" s="262">
        <f t="shared" si="2"/>
        <v>0</v>
      </c>
      <c r="J91" s="260">
        <f t="shared" si="1"/>
        <v>0</v>
      </c>
    </row>
    <row r="92" spans="4:10" ht="15.75" thickBot="1" x14ac:dyDescent="0.3">
      <c r="D92" s="248">
        <v>0</v>
      </c>
      <c r="E92" s="248">
        <v>0</v>
      </c>
      <c r="F92" s="248">
        <v>0</v>
      </c>
      <c r="G92" s="248">
        <v>0</v>
      </c>
      <c r="H92" s="252">
        <v>0</v>
      </c>
      <c r="I92" s="262">
        <f t="shared" si="2"/>
        <v>0</v>
      </c>
      <c r="J92" s="260">
        <f t="shared" si="1"/>
        <v>0</v>
      </c>
    </row>
    <row r="93" spans="4:10" ht="15.75" thickBot="1" x14ac:dyDescent="0.3">
      <c r="D93" s="248">
        <v>0</v>
      </c>
      <c r="E93" s="248">
        <v>0</v>
      </c>
      <c r="F93" s="248">
        <v>0</v>
      </c>
      <c r="G93" s="248">
        <v>0</v>
      </c>
      <c r="H93" s="252">
        <v>0</v>
      </c>
      <c r="I93" s="262">
        <f t="shared" si="2"/>
        <v>0</v>
      </c>
      <c r="J93" s="260">
        <f t="shared" si="1"/>
        <v>0</v>
      </c>
    </row>
    <row r="94" spans="4:10" ht="15.75" thickBot="1" x14ac:dyDescent="0.3">
      <c r="D94" s="248">
        <v>0</v>
      </c>
      <c r="E94" s="248">
        <v>0</v>
      </c>
      <c r="F94" s="248">
        <v>0</v>
      </c>
      <c r="G94" s="248">
        <v>0</v>
      </c>
      <c r="H94" s="252">
        <v>0</v>
      </c>
      <c r="I94" s="262">
        <f t="shared" si="2"/>
        <v>0</v>
      </c>
      <c r="J94" s="260">
        <f t="shared" si="1"/>
        <v>0</v>
      </c>
    </row>
    <row r="95" spans="4:10" ht="15.75" thickBot="1" x14ac:dyDescent="0.3">
      <c r="D95" s="248">
        <v>0</v>
      </c>
      <c r="E95" s="248">
        <v>0</v>
      </c>
      <c r="F95" s="248">
        <v>0</v>
      </c>
      <c r="G95" s="248">
        <v>0</v>
      </c>
      <c r="H95" s="252">
        <v>0</v>
      </c>
      <c r="I95" s="262">
        <f t="shared" si="2"/>
        <v>0</v>
      </c>
      <c r="J95" s="261">
        <f t="shared" si="1"/>
        <v>0</v>
      </c>
    </row>
    <row r="96" spans="4:10" hidden="1" x14ac:dyDescent="0.25">
      <c r="D96" s="239">
        <v>0</v>
      </c>
      <c r="E96" s="240">
        <v>0</v>
      </c>
      <c r="F96" s="240">
        <v>0</v>
      </c>
      <c r="G96" s="240">
        <v>0</v>
      </c>
      <c r="H96" s="241">
        <v>0</v>
      </c>
      <c r="I96" s="255">
        <f t="shared" si="2"/>
        <v>0</v>
      </c>
      <c r="J96" s="253">
        <f t="shared" si="1"/>
        <v>0</v>
      </c>
    </row>
    <row r="97" spans="4:10" hidden="1" x14ac:dyDescent="0.25">
      <c r="D97" s="239">
        <v>0</v>
      </c>
      <c r="E97" s="240">
        <v>0</v>
      </c>
      <c r="F97" s="240">
        <v>0</v>
      </c>
      <c r="G97" s="240">
        <v>0</v>
      </c>
      <c r="H97" s="241">
        <v>0</v>
      </c>
      <c r="I97" s="255">
        <f t="shared" si="2"/>
        <v>0</v>
      </c>
      <c r="J97" s="238">
        <f t="shared" si="1"/>
        <v>0</v>
      </c>
    </row>
    <row r="98" spans="4:10" hidden="1" x14ac:dyDescent="0.25">
      <c r="D98" s="239">
        <v>0</v>
      </c>
      <c r="E98" s="240">
        <v>0</v>
      </c>
      <c r="F98" s="240">
        <v>0</v>
      </c>
      <c r="G98" s="240">
        <v>0</v>
      </c>
      <c r="H98" s="241">
        <v>0</v>
      </c>
      <c r="I98" s="255">
        <f t="shared" si="2"/>
        <v>0</v>
      </c>
      <c r="J98" s="238">
        <f t="shared" si="1"/>
        <v>0</v>
      </c>
    </row>
    <row r="99" spans="4:10" hidden="1" x14ac:dyDescent="0.25">
      <c r="D99" s="239">
        <v>0</v>
      </c>
      <c r="E99" s="240">
        <v>0</v>
      </c>
      <c r="F99" s="240">
        <v>0</v>
      </c>
      <c r="G99" s="240">
        <v>0</v>
      </c>
      <c r="H99" s="241">
        <v>0</v>
      </c>
      <c r="I99" s="255">
        <f t="shared" si="2"/>
        <v>0</v>
      </c>
      <c r="J99" s="238">
        <f t="shared" si="1"/>
        <v>0</v>
      </c>
    </row>
    <row r="100" spans="4:10" hidden="1" x14ac:dyDescent="0.25">
      <c r="D100" s="239">
        <v>0</v>
      </c>
      <c r="E100" s="240">
        <v>0</v>
      </c>
      <c r="F100" s="240">
        <v>0</v>
      </c>
      <c r="G100" s="240">
        <v>0</v>
      </c>
      <c r="H100" s="241">
        <v>0</v>
      </c>
      <c r="I100" s="255">
        <f t="shared" si="2"/>
        <v>0</v>
      </c>
      <c r="J100" s="238">
        <f t="shared" si="1"/>
        <v>0</v>
      </c>
    </row>
    <row r="101" spans="4:10" hidden="1" x14ac:dyDescent="0.25">
      <c r="D101" s="239">
        <v>0</v>
      </c>
      <c r="E101" s="240">
        <v>0</v>
      </c>
      <c r="F101" s="240">
        <v>0</v>
      </c>
      <c r="G101" s="240">
        <v>0</v>
      </c>
      <c r="H101" s="241">
        <v>0</v>
      </c>
      <c r="I101" s="255">
        <f t="shared" si="2"/>
        <v>0</v>
      </c>
      <c r="J101" s="238">
        <f t="shared" si="1"/>
        <v>0</v>
      </c>
    </row>
    <row r="102" spans="4:10" hidden="1" x14ac:dyDescent="0.25">
      <c r="D102" s="239">
        <v>0</v>
      </c>
      <c r="E102" s="240">
        <v>0</v>
      </c>
      <c r="F102" s="240">
        <v>0</v>
      </c>
      <c r="G102" s="240">
        <v>0</v>
      </c>
      <c r="H102" s="241">
        <v>0</v>
      </c>
      <c r="I102" s="255">
        <f t="shared" si="2"/>
        <v>0</v>
      </c>
      <c r="J102" s="238">
        <f t="shared" si="1"/>
        <v>0</v>
      </c>
    </row>
    <row r="103" spans="4:10" hidden="1" x14ac:dyDescent="0.25">
      <c r="D103" s="239">
        <v>0</v>
      </c>
      <c r="E103" s="240">
        <v>0</v>
      </c>
      <c r="F103" s="240">
        <v>0</v>
      </c>
      <c r="G103" s="240">
        <v>0</v>
      </c>
      <c r="H103" s="241">
        <v>0</v>
      </c>
      <c r="I103" s="255">
        <f t="shared" si="2"/>
        <v>0</v>
      </c>
      <c r="J103" s="238">
        <f t="shared" si="1"/>
        <v>0</v>
      </c>
    </row>
    <row r="104" spans="4:10" hidden="1" x14ac:dyDescent="0.25">
      <c r="D104" s="239">
        <v>0</v>
      </c>
      <c r="E104" s="240">
        <v>0</v>
      </c>
      <c r="F104" s="240">
        <v>0</v>
      </c>
      <c r="G104" s="240">
        <v>0</v>
      </c>
      <c r="H104" s="241">
        <v>0</v>
      </c>
      <c r="I104" s="255">
        <f t="shared" si="2"/>
        <v>0</v>
      </c>
      <c r="J104" s="238">
        <f t="shared" si="1"/>
        <v>0</v>
      </c>
    </row>
    <row r="105" spans="4:10" hidden="1" x14ac:dyDescent="0.25">
      <c r="D105" s="239">
        <v>0</v>
      </c>
      <c r="E105" s="240">
        <v>0</v>
      </c>
      <c r="F105" s="240">
        <v>0</v>
      </c>
      <c r="G105" s="240">
        <v>0</v>
      </c>
      <c r="H105" s="241">
        <v>0</v>
      </c>
      <c r="I105" s="255">
        <f t="shared" si="2"/>
        <v>0</v>
      </c>
      <c r="J105" s="238">
        <f t="shared" si="1"/>
        <v>0</v>
      </c>
    </row>
    <row r="106" spans="4:10" hidden="1" x14ac:dyDescent="0.25">
      <c r="D106" s="239">
        <v>0</v>
      </c>
      <c r="E106" s="240">
        <v>0</v>
      </c>
      <c r="F106" s="240">
        <v>0</v>
      </c>
      <c r="G106" s="240">
        <v>0</v>
      </c>
      <c r="H106" s="241">
        <v>0</v>
      </c>
      <c r="I106" s="255">
        <f t="shared" si="2"/>
        <v>0</v>
      </c>
      <c r="J106" s="238">
        <f t="shared" si="1"/>
        <v>0</v>
      </c>
    </row>
    <row r="107" spans="4:10" hidden="1" x14ac:dyDescent="0.25">
      <c r="D107" s="239">
        <v>0</v>
      </c>
      <c r="E107" s="240">
        <v>0</v>
      </c>
      <c r="F107" s="240">
        <v>0</v>
      </c>
      <c r="G107" s="240">
        <v>0</v>
      </c>
      <c r="H107" s="241">
        <v>0</v>
      </c>
      <c r="I107" s="255">
        <f t="shared" si="2"/>
        <v>0</v>
      </c>
      <c r="J107" s="238">
        <f t="shared" si="1"/>
        <v>0</v>
      </c>
    </row>
    <row r="108" spans="4:10" hidden="1" x14ac:dyDescent="0.25">
      <c r="D108" s="239">
        <v>0</v>
      </c>
      <c r="E108" s="240">
        <v>0</v>
      </c>
      <c r="F108" s="240">
        <v>0</v>
      </c>
      <c r="G108" s="240">
        <v>0</v>
      </c>
      <c r="H108" s="241">
        <v>0</v>
      </c>
      <c r="I108" s="255">
        <f t="shared" si="2"/>
        <v>0</v>
      </c>
      <c r="J108" s="238">
        <f t="shared" si="1"/>
        <v>0</v>
      </c>
    </row>
    <row r="109" spans="4:10" hidden="1" x14ac:dyDescent="0.25">
      <c r="D109" s="239">
        <v>0</v>
      </c>
      <c r="E109" s="240">
        <v>0</v>
      </c>
      <c r="F109" s="240">
        <v>0</v>
      </c>
      <c r="G109" s="240">
        <v>0</v>
      </c>
      <c r="H109" s="241">
        <v>0</v>
      </c>
      <c r="I109" s="255">
        <f t="shared" si="2"/>
        <v>0</v>
      </c>
      <c r="J109" s="238">
        <f t="shared" si="1"/>
        <v>0</v>
      </c>
    </row>
    <row r="110" spans="4:10" hidden="1" x14ac:dyDescent="0.25">
      <c r="D110" s="239">
        <v>0</v>
      </c>
      <c r="E110" s="240">
        <v>0</v>
      </c>
      <c r="F110" s="240">
        <v>0</v>
      </c>
      <c r="G110" s="240">
        <v>0</v>
      </c>
      <c r="H110" s="241">
        <v>0</v>
      </c>
      <c r="I110" s="255">
        <f t="shared" si="2"/>
        <v>0</v>
      </c>
      <c r="J110" s="238">
        <f t="shared" si="1"/>
        <v>0</v>
      </c>
    </row>
    <row r="111" spans="4:10" hidden="1" x14ac:dyDescent="0.25">
      <c r="D111" s="239">
        <v>0</v>
      </c>
      <c r="E111" s="240">
        <v>0</v>
      </c>
      <c r="F111" s="240">
        <v>0</v>
      </c>
      <c r="G111" s="240">
        <v>0</v>
      </c>
      <c r="H111" s="241">
        <v>0</v>
      </c>
      <c r="I111" s="255">
        <f t="shared" si="2"/>
        <v>0</v>
      </c>
      <c r="J111" s="238">
        <f t="shared" si="1"/>
        <v>0</v>
      </c>
    </row>
    <row r="112" spans="4:10" hidden="1" x14ac:dyDescent="0.25">
      <c r="D112" s="239">
        <v>0</v>
      </c>
      <c r="E112" s="240">
        <v>0</v>
      </c>
      <c r="F112" s="240">
        <v>0</v>
      </c>
      <c r="G112" s="240">
        <v>0</v>
      </c>
      <c r="H112" s="241">
        <v>0</v>
      </c>
      <c r="I112" s="255">
        <f t="shared" si="2"/>
        <v>0</v>
      </c>
      <c r="J112" s="238">
        <f t="shared" si="1"/>
        <v>0</v>
      </c>
    </row>
    <row r="113" spans="4:10" hidden="1" x14ac:dyDescent="0.25">
      <c r="D113" s="239">
        <v>0</v>
      </c>
      <c r="E113" s="240">
        <v>0</v>
      </c>
      <c r="F113" s="240">
        <v>0</v>
      </c>
      <c r="G113" s="240">
        <v>0</v>
      </c>
      <c r="H113" s="241">
        <v>0</v>
      </c>
      <c r="I113" s="255">
        <f t="shared" si="2"/>
        <v>0</v>
      </c>
      <c r="J113" s="238">
        <f t="shared" si="1"/>
        <v>0</v>
      </c>
    </row>
    <row r="114" spans="4:10" hidden="1" x14ac:dyDescent="0.25">
      <c r="D114" s="239">
        <v>0</v>
      </c>
      <c r="E114" s="240">
        <v>0</v>
      </c>
      <c r="F114" s="240">
        <v>0</v>
      </c>
      <c r="G114" s="240">
        <v>0</v>
      </c>
      <c r="H114" s="241">
        <v>0</v>
      </c>
      <c r="I114" s="255">
        <f t="shared" si="2"/>
        <v>0</v>
      </c>
      <c r="J114" s="238">
        <f t="shared" si="1"/>
        <v>0</v>
      </c>
    </row>
    <row r="115" spans="4:10" hidden="1" x14ac:dyDescent="0.25">
      <c r="D115" s="239">
        <v>0</v>
      </c>
      <c r="E115" s="240">
        <v>0</v>
      </c>
      <c r="F115" s="240">
        <v>0</v>
      </c>
      <c r="G115" s="240">
        <v>0</v>
      </c>
      <c r="H115" s="241">
        <v>0</v>
      </c>
      <c r="I115" s="255">
        <f t="shared" si="2"/>
        <v>0</v>
      </c>
      <c r="J115" s="238">
        <f t="shared" si="1"/>
        <v>0</v>
      </c>
    </row>
    <row r="116" spans="4:10" hidden="1" x14ac:dyDescent="0.25">
      <c r="D116" s="239">
        <v>0</v>
      </c>
      <c r="E116" s="240">
        <v>0</v>
      </c>
      <c r="F116" s="240">
        <v>0</v>
      </c>
      <c r="G116" s="240">
        <v>0</v>
      </c>
      <c r="H116" s="241">
        <v>0</v>
      </c>
      <c r="I116" s="255">
        <f t="shared" si="2"/>
        <v>0</v>
      </c>
      <c r="J116" s="238">
        <f t="shared" si="1"/>
        <v>0</v>
      </c>
    </row>
    <row r="117" spans="4:10" hidden="1" x14ac:dyDescent="0.25">
      <c r="D117" s="239">
        <v>0</v>
      </c>
      <c r="E117" s="240">
        <v>0</v>
      </c>
      <c r="F117" s="240">
        <v>0</v>
      </c>
      <c r="G117" s="240">
        <v>0</v>
      </c>
      <c r="H117" s="241">
        <v>0</v>
      </c>
      <c r="I117" s="255">
        <f t="shared" si="2"/>
        <v>0</v>
      </c>
      <c r="J117" s="238">
        <f t="shared" si="1"/>
        <v>0</v>
      </c>
    </row>
    <row r="118" spans="4:10" hidden="1" x14ac:dyDescent="0.25">
      <c r="D118" s="239">
        <v>0</v>
      </c>
      <c r="E118" s="240">
        <v>0</v>
      </c>
      <c r="F118" s="240">
        <v>0</v>
      </c>
      <c r="G118" s="240">
        <v>0</v>
      </c>
      <c r="H118" s="241">
        <v>0</v>
      </c>
      <c r="I118" s="255">
        <f t="shared" si="2"/>
        <v>0</v>
      </c>
      <c r="J118" s="238">
        <f t="shared" si="1"/>
        <v>0</v>
      </c>
    </row>
    <row r="119" spans="4:10" hidden="1" x14ac:dyDescent="0.25">
      <c r="D119" s="239">
        <v>0</v>
      </c>
      <c r="E119" s="240">
        <v>0</v>
      </c>
      <c r="F119" s="240">
        <v>0</v>
      </c>
      <c r="G119" s="240">
        <v>0</v>
      </c>
      <c r="H119" s="241">
        <v>0</v>
      </c>
      <c r="I119" s="255">
        <f t="shared" si="2"/>
        <v>0</v>
      </c>
      <c r="J119" s="238">
        <f t="shared" si="1"/>
        <v>0</v>
      </c>
    </row>
    <row r="120" spans="4:10" hidden="1" x14ac:dyDescent="0.25">
      <c r="D120" s="239">
        <v>0</v>
      </c>
      <c r="E120" s="240">
        <v>0</v>
      </c>
      <c r="F120" s="240">
        <v>0</v>
      </c>
      <c r="G120" s="240">
        <v>0</v>
      </c>
      <c r="H120" s="241">
        <v>0</v>
      </c>
      <c r="I120" s="255">
        <f t="shared" si="2"/>
        <v>0</v>
      </c>
      <c r="J120" s="238">
        <f t="shared" si="1"/>
        <v>0</v>
      </c>
    </row>
    <row r="121" spans="4:10" hidden="1" x14ac:dyDescent="0.25">
      <c r="D121" s="239">
        <v>0</v>
      </c>
      <c r="E121" s="240">
        <v>0</v>
      </c>
      <c r="F121" s="240">
        <v>0</v>
      </c>
      <c r="G121" s="240">
        <v>0</v>
      </c>
      <c r="H121" s="241">
        <v>0</v>
      </c>
      <c r="I121" s="255">
        <f t="shared" si="2"/>
        <v>0</v>
      </c>
      <c r="J121" s="238">
        <f t="shared" si="1"/>
        <v>0</v>
      </c>
    </row>
    <row r="122" spans="4:10" hidden="1" x14ac:dyDescent="0.25">
      <c r="D122" s="239">
        <v>0</v>
      </c>
      <c r="E122" s="240">
        <v>0</v>
      </c>
      <c r="F122" s="240">
        <v>0</v>
      </c>
      <c r="G122" s="240">
        <v>0</v>
      </c>
      <c r="H122" s="241">
        <v>0</v>
      </c>
      <c r="I122" s="255">
        <f t="shared" si="2"/>
        <v>0</v>
      </c>
      <c r="J122" s="238">
        <f t="shared" si="1"/>
        <v>0</v>
      </c>
    </row>
    <row r="123" spans="4:10" hidden="1" x14ac:dyDescent="0.25">
      <c r="D123" s="239">
        <v>0</v>
      </c>
      <c r="E123" s="240">
        <v>0</v>
      </c>
      <c r="F123" s="240">
        <v>0</v>
      </c>
      <c r="G123" s="240">
        <v>0</v>
      </c>
      <c r="H123" s="241">
        <v>0</v>
      </c>
      <c r="I123" s="255">
        <f t="shared" si="2"/>
        <v>0</v>
      </c>
      <c r="J123" s="238">
        <f t="shared" si="1"/>
        <v>0</v>
      </c>
    </row>
    <row r="124" spans="4:10" hidden="1" x14ac:dyDescent="0.25">
      <c r="D124" s="239">
        <v>0</v>
      </c>
      <c r="E124" s="240">
        <v>0</v>
      </c>
      <c r="F124" s="240">
        <v>0</v>
      </c>
      <c r="G124" s="240">
        <v>0</v>
      </c>
      <c r="H124" s="241">
        <v>0</v>
      </c>
      <c r="I124" s="255">
        <f t="shared" si="2"/>
        <v>0</v>
      </c>
      <c r="J124" s="238">
        <f t="shared" si="1"/>
        <v>0</v>
      </c>
    </row>
    <row r="125" spans="4:10" hidden="1" x14ac:dyDescent="0.25">
      <c r="D125" s="239">
        <v>0</v>
      </c>
      <c r="E125" s="240">
        <v>0</v>
      </c>
      <c r="F125" s="240">
        <v>0</v>
      </c>
      <c r="G125" s="240">
        <v>0</v>
      </c>
      <c r="H125" s="241">
        <v>0</v>
      </c>
      <c r="I125" s="255">
        <f t="shared" si="2"/>
        <v>0</v>
      </c>
      <c r="J125" s="238">
        <f t="shared" si="1"/>
        <v>0</v>
      </c>
    </row>
    <row r="126" spans="4:10" hidden="1" x14ac:dyDescent="0.25">
      <c r="D126" s="239">
        <v>0</v>
      </c>
      <c r="E126" s="240">
        <v>0</v>
      </c>
      <c r="F126" s="240">
        <v>0</v>
      </c>
      <c r="G126" s="240">
        <v>0</v>
      </c>
      <c r="H126" s="241">
        <v>0</v>
      </c>
      <c r="I126" s="255">
        <f t="shared" si="2"/>
        <v>0</v>
      </c>
      <c r="J126" s="238">
        <f t="shared" si="1"/>
        <v>0</v>
      </c>
    </row>
    <row r="127" spans="4:10" hidden="1" x14ac:dyDescent="0.25">
      <c r="D127" s="239">
        <v>0</v>
      </c>
      <c r="E127" s="240">
        <v>0</v>
      </c>
      <c r="F127" s="240">
        <v>0</v>
      </c>
      <c r="G127" s="240">
        <v>0</v>
      </c>
      <c r="H127" s="241">
        <v>0</v>
      </c>
      <c r="I127" s="255">
        <f t="shared" si="2"/>
        <v>0</v>
      </c>
      <c r="J127" s="238">
        <f t="shared" si="1"/>
        <v>0</v>
      </c>
    </row>
    <row r="128" spans="4:10" hidden="1" x14ac:dyDescent="0.25">
      <c r="D128" s="239">
        <v>0</v>
      </c>
      <c r="E128" s="240">
        <v>0</v>
      </c>
      <c r="F128" s="240">
        <v>0</v>
      </c>
      <c r="G128" s="240">
        <v>0</v>
      </c>
      <c r="H128" s="241">
        <v>0</v>
      </c>
      <c r="I128" s="255">
        <f t="shared" si="2"/>
        <v>0</v>
      </c>
      <c r="J128" s="238">
        <f t="shared" si="1"/>
        <v>0</v>
      </c>
    </row>
    <row r="129" spans="3:12" hidden="1" x14ac:dyDescent="0.25">
      <c r="D129" s="239">
        <v>0</v>
      </c>
      <c r="E129" s="240">
        <v>0</v>
      </c>
      <c r="F129" s="240">
        <v>0</v>
      </c>
      <c r="G129" s="240">
        <v>0</v>
      </c>
      <c r="H129" s="241">
        <v>0</v>
      </c>
      <c r="I129" s="257">
        <f t="shared" si="2"/>
        <v>0</v>
      </c>
      <c r="J129" s="238">
        <f t="shared" si="1"/>
        <v>0</v>
      </c>
    </row>
    <row r="130" spans="3:12" ht="29.25" thickBot="1" x14ac:dyDescent="0.3">
      <c r="I130" s="258">
        <f>SUM(I6:I129)</f>
        <v>2.2733099999999999</v>
      </c>
      <c r="J130" s="256" t="s">
        <v>996</v>
      </c>
      <c r="L130" s="233"/>
    </row>
    <row r="131" spans="3:12" ht="29.25" thickBot="1" x14ac:dyDescent="0.3">
      <c r="C131" s="242" t="s">
        <v>997</v>
      </c>
      <c r="D131" s="243">
        <f>SUM(D6:D130)</f>
        <v>67</v>
      </c>
      <c r="E131" s="244"/>
      <c r="F131" s="244"/>
      <c r="G131" s="378" t="s">
        <v>995</v>
      </c>
      <c r="H131" s="379"/>
      <c r="I131" s="380"/>
      <c r="J131" s="245">
        <f>SUM(J6:J130)</f>
        <v>681.99299999999994</v>
      </c>
      <c r="K131" s="246" t="s">
        <v>998</v>
      </c>
    </row>
    <row r="132" spans="3:12" ht="29.25" thickBot="1" x14ac:dyDescent="0.3">
      <c r="G132" s="378" t="s">
        <v>999</v>
      </c>
      <c r="H132" s="379"/>
      <c r="I132" s="380"/>
      <c r="J132" s="247">
        <f>SUM(H6:H129)</f>
        <v>0</v>
      </c>
      <c r="K132" s="246" t="s">
        <v>998</v>
      </c>
    </row>
  </sheetData>
  <mergeCells count="4">
    <mergeCell ref="G131:I131"/>
    <mergeCell ref="G132:I132"/>
    <mergeCell ref="I4:J4"/>
    <mergeCell ref="V6:Z6"/>
  </mergeCells>
  <dataValidations count="2">
    <dataValidation type="decimal" allowBlank="1" showInputMessage="1" showErrorMessage="1" errorTitle="ERRO" error="APENAS NUMEROS" sqref="D96:H129" xr:uid="{D887A39A-E8E9-4A86-846E-E41C60963CC8}">
      <formula1>0.000000000001</formula1>
      <formula2>9999999.99999999</formula2>
    </dataValidation>
    <dataValidation type="decimal" allowBlank="1" showErrorMessage="1" errorTitle="APENAS NUMEROS" error="INSIRA UM NUMERO VALIDO" sqref="D6:H95" xr:uid="{9D1CC11C-3D5F-48A4-8A7E-5F363546FB3C}">
      <formula1>0</formula1>
      <formula2>9.99999999999999E+21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zerarCubagemRodo">
                <anchor moveWithCells="1">
                  <from>
                    <xdr:col>0</xdr:col>
                    <xdr:colOff>238125</xdr:colOff>
                    <xdr:row>21</xdr:row>
                    <xdr:rowOff>0</xdr:rowOff>
                  </from>
                  <to>
                    <xdr:col>2</xdr:col>
                    <xdr:colOff>447675</xdr:colOff>
                    <xdr:row>25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06DA-5B20-4705-8DBF-F0EC6B75B205}">
  <sheetPr>
    <tabColor theme="0" tint="-0.249977111117893"/>
  </sheetPr>
  <dimension ref="A1:C100"/>
  <sheetViews>
    <sheetView topLeftCell="A4" workbookViewId="0">
      <selection activeCell="B105" sqref="B105"/>
    </sheetView>
  </sheetViews>
  <sheetFormatPr defaultRowHeight="15" x14ac:dyDescent="0.25"/>
  <cols>
    <col min="2" max="2" width="42.28515625" bestFit="1" customWidth="1"/>
    <col min="3" max="3" width="36.42578125" bestFit="1" customWidth="1"/>
  </cols>
  <sheetData>
    <row r="1" spans="1:3" x14ac:dyDescent="0.25">
      <c r="A1" s="52" t="s">
        <v>325</v>
      </c>
      <c r="B1" s="53" t="s">
        <v>326</v>
      </c>
      <c r="C1" s="54" t="s">
        <v>327</v>
      </c>
    </row>
    <row r="2" spans="1:3" x14ac:dyDescent="0.25">
      <c r="A2" s="55" t="s">
        <v>218</v>
      </c>
      <c r="B2" s="41" t="s">
        <v>328</v>
      </c>
      <c r="C2" s="56" t="s">
        <v>329</v>
      </c>
    </row>
    <row r="3" spans="1:3" x14ac:dyDescent="0.25">
      <c r="A3" s="55" t="s">
        <v>136</v>
      </c>
      <c r="B3" s="41" t="s">
        <v>330</v>
      </c>
      <c r="C3" s="56" t="s">
        <v>331</v>
      </c>
    </row>
    <row r="4" spans="1:3" x14ac:dyDescent="0.25">
      <c r="A4" s="55" t="s">
        <v>175</v>
      </c>
      <c r="B4" s="41" t="s">
        <v>332</v>
      </c>
      <c r="C4" s="56" t="s">
        <v>1007</v>
      </c>
    </row>
    <row r="5" spans="1:3" x14ac:dyDescent="0.25">
      <c r="A5" s="55" t="s">
        <v>153</v>
      </c>
      <c r="B5" s="41" t="s">
        <v>333</v>
      </c>
      <c r="C5" s="56" t="s">
        <v>334</v>
      </c>
    </row>
    <row r="6" spans="1:3" x14ac:dyDescent="0.25">
      <c r="A6" s="55" t="s">
        <v>93</v>
      </c>
      <c r="B6" s="41" t="s">
        <v>335</v>
      </c>
      <c r="C6" s="56" t="s">
        <v>336</v>
      </c>
    </row>
    <row r="7" spans="1:3" x14ac:dyDescent="0.25">
      <c r="A7" s="55" t="s">
        <v>213</v>
      </c>
      <c r="B7" s="41" t="s">
        <v>328</v>
      </c>
      <c r="C7" s="56" t="s">
        <v>337</v>
      </c>
    </row>
    <row r="8" spans="1:3" x14ac:dyDescent="0.25">
      <c r="A8" s="55" t="s">
        <v>91</v>
      </c>
      <c r="B8" s="41" t="s">
        <v>335</v>
      </c>
      <c r="C8" s="56" t="s">
        <v>338</v>
      </c>
    </row>
    <row r="9" spans="1:3" x14ac:dyDescent="0.25">
      <c r="A9" s="55" t="s">
        <v>203</v>
      </c>
      <c r="B9" s="41" t="s">
        <v>332</v>
      </c>
      <c r="C9" s="56" t="s">
        <v>339</v>
      </c>
    </row>
    <row r="10" spans="1:3" x14ac:dyDescent="0.25">
      <c r="A10" s="55" t="s">
        <v>179</v>
      </c>
      <c r="B10" s="41" t="s">
        <v>340</v>
      </c>
      <c r="C10" s="56" t="s">
        <v>341</v>
      </c>
    </row>
    <row r="11" spans="1:3" x14ac:dyDescent="0.25">
      <c r="A11" s="55" t="s">
        <v>207</v>
      </c>
      <c r="B11" s="41" t="s">
        <v>328</v>
      </c>
      <c r="C11" s="56" t="s">
        <v>342</v>
      </c>
    </row>
    <row r="12" spans="1:3" x14ac:dyDescent="0.25">
      <c r="A12" s="55" t="s">
        <v>145</v>
      </c>
      <c r="B12" s="41" t="s">
        <v>343</v>
      </c>
      <c r="C12" s="56" t="s">
        <v>344</v>
      </c>
    </row>
    <row r="13" spans="1:3" x14ac:dyDescent="0.25">
      <c r="A13" s="55" t="s">
        <v>81</v>
      </c>
      <c r="B13" s="41" t="s">
        <v>345</v>
      </c>
      <c r="C13" s="56" t="s">
        <v>346</v>
      </c>
    </row>
    <row r="14" spans="1:3" x14ac:dyDescent="0.25">
      <c r="A14" s="55" t="s">
        <v>132</v>
      </c>
      <c r="B14" s="41" t="s">
        <v>347</v>
      </c>
      <c r="C14" s="56" t="s">
        <v>348</v>
      </c>
    </row>
    <row r="15" spans="1:3" x14ac:dyDescent="0.25">
      <c r="A15" s="55" t="s">
        <v>208</v>
      </c>
      <c r="B15" s="41" t="s">
        <v>328</v>
      </c>
      <c r="C15" s="56" t="s">
        <v>349</v>
      </c>
    </row>
    <row r="16" spans="1:3" x14ac:dyDescent="0.25">
      <c r="A16" s="55" t="s">
        <v>4</v>
      </c>
      <c r="B16" s="41" t="s">
        <v>332</v>
      </c>
      <c r="C16" s="56" t="s">
        <v>350</v>
      </c>
    </row>
    <row r="17" spans="1:3" x14ac:dyDescent="0.25">
      <c r="A17" s="55" t="s">
        <v>219</v>
      </c>
      <c r="B17" s="41" t="s">
        <v>328</v>
      </c>
      <c r="C17" s="56" t="s">
        <v>351</v>
      </c>
    </row>
    <row r="18" spans="1:3" x14ac:dyDescent="0.25">
      <c r="A18" s="55" t="s">
        <v>212</v>
      </c>
      <c r="B18" s="41" t="s">
        <v>328</v>
      </c>
      <c r="C18" s="56" t="s">
        <v>352</v>
      </c>
    </row>
    <row r="19" spans="1:3" x14ac:dyDescent="0.25">
      <c r="A19" s="55" t="s">
        <v>31</v>
      </c>
      <c r="B19" s="41" t="s">
        <v>343</v>
      </c>
      <c r="C19" s="56" t="s">
        <v>353</v>
      </c>
    </row>
    <row r="20" spans="1:3" x14ac:dyDescent="0.25">
      <c r="A20" s="55" t="s">
        <v>138</v>
      </c>
      <c r="B20" s="41" t="s">
        <v>343</v>
      </c>
      <c r="C20" s="56" t="s">
        <v>354</v>
      </c>
    </row>
    <row r="21" spans="1:3" x14ac:dyDescent="0.25">
      <c r="A21" s="55" t="s">
        <v>211</v>
      </c>
      <c r="B21" s="41" t="s">
        <v>328</v>
      </c>
      <c r="C21" s="56" t="s">
        <v>355</v>
      </c>
    </row>
    <row r="22" spans="1:3" x14ac:dyDescent="0.25">
      <c r="A22" s="55" t="s">
        <v>92</v>
      </c>
      <c r="B22" s="41" t="s">
        <v>335</v>
      </c>
      <c r="C22" s="56" t="s">
        <v>356</v>
      </c>
    </row>
    <row r="23" spans="1:3" x14ac:dyDescent="0.25">
      <c r="A23" s="55" t="s">
        <v>216</v>
      </c>
      <c r="B23" s="41" t="s">
        <v>328</v>
      </c>
      <c r="C23" s="56" t="s">
        <v>357</v>
      </c>
    </row>
    <row r="24" spans="1:3" x14ac:dyDescent="0.25">
      <c r="A24" s="55" t="s">
        <v>220</v>
      </c>
      <c r="B24" s="41" t="s">
        <v>328</v>
      </c>
      <c r="C24" s="56" t="s">
        <v>358</v>
      </c>
    </row>
    <row r="25" spans="1:3" x14ac:dyDescent="0.25">
      <c r="A25" s="55" t="s">
        <v>221</v>
      </c>
      <c r="B25" s="41" t="s">
        <v>328</v>
      </c>
      <c r="C25" s="56" t="s">
        <v>359</v>
      </c>
    </row>
    <row r="26" spans="1:3" x14ac:dyDescent="0.25">
      <c r="A26" s="55" t="s">
        <v>206</v>
      </c>
      <c r="B26" s="41" t="s">
        <v>328</v>
      </c>
      <c r="C26" s="56" t="s">
        <v>360</v>
      </c>
    </row>
    <row r="27" spans="1:3" x14ac:dyDescent="0.25">
      <c r="A27" s="55" t="s">
        <v>154</v>
      </c>
      <c r="B27" s="41" t="s">
        <v>361</v>
      </c>
      <c r="C27" s="56" t="s">
        <v>362</v>
      </c>
    </row>
    <row r="28" spans="1:3" x14ac:dyDescent="0.25">
      <c r="A28" s="55" t="s">
        <v>148</v>
      </c>
      <c r="B28" s="41" t="s">
        <v>333</v>
      </c>
      <c r="C28" s="56" t="s">
        <v>363</v>
      </c>
    </row>
    <row r="29" spans="1:3" x14ac:dyDescent="0.25">
      <c r="A29" s="55" t="s">
        <v>173</v>
      </c>
      <c r="B29" s="41" t="s">
        <v>343</v>
      </c>
      <c r="C29" s="56" t="s">
        <v>364</v>
      </c>
    </row>
    <row r="30" spans="1:3" x14ac:dyDescent="0.25">
      <c r="A30" s="55" t="s">
        <v>144</v>
      </c>
      <c r="B30" s="41" t="s">
        <v>343</v>
      </c>
      <c r="C30" s="56" t="s">
        <v>365</v>
      </c>
    </row>
    <row r="31" spans="1:3" x14ac:dyDescent="0.25">
      <c r="A31" s="55" t="s">
        <v>66</v>
      </c>
      <c r="B31" s="41" t="s">
        <v>345</v>
      </c>
      <c r="C31" s="56" t="s">
        <v>366</v>
      </c>
    </row>
    <row r="32" spans="1:3" x14ac:dyDescent="0.25">
      <c r="A32" s="55" t="s">
        <v>217</v>
      </c>
      <c r="B32" s="41" t="s">
        <v>328</v>
      </c>
      <c r="C32" s="56" t="s">
        <v>367</v>
      </c>
    </row>
    <row r="33" spans="1:3" x14ac:dyDescent="0.25">
      <c r="A33" s="55" t="s">
        <v>205</v>
      </c>
      <c r="B33" s="41" t="s">
        <v>368</v>
      </c>
      <c r="C33" s="56" t="s">
        <v>369</v>
      </c>
    </row>
    <row r="34" spans="1:3" x14ac:dyDescent="0.25">
      <c r="A34" s="55" t="s">
        <v>146</v>
      </c>
      <c r="B34" s="41" t="s">
        <v>343</v>
      </c>
      <c r="C34" s="56" t="s">
        <v>370</v>
      </c>
    </row>
    <row r="35" spans="1:3" x14ac:dyDescent="0.25">
      <c r="A35" s="55" t="s">
        <v>181</v>
      </c>
      <c r="B35" s="41" t="s">
        <v>332</v>
      </c>
      <c r="C35" s="56" t="s">
        <v>371</v>
      </c>
    </row>
    <row r="36" spans="1:3" x14ac:dyDescent="0.25">
      <c r="A36" s="55" t="s">
        <v>180</v>
      </c>
      <c r="B36" s="41" t="s">
        <v>332</v>
      </c>
      <c r="C36" s="56" t="s">
        <v>372</v>
      </c>
    </row>
    <row r="37" spans="1:3" x14ac:dyDescent="0.25">
      <c r="A37" s="55" t="s">
        <v>174</v>
      </c>
      <c r="B37" s="41" t="s">
        <v>332</v>
      </c>
      <c r="C37" s="56" t="s">
        <v>373</v>
      </c>
    </row>
    <row r="38" spans="1:3" x14ac:dyDescent="0.25">
      <c r="A38" s="55" t="s">
        <v>155</v>
      </c>
      <c r="B38" s="41" t="s">
        <v>333</v>
      </c>
      <c r="C38" s="56" t="s">
        <v>374</v>
      </c>
    </row>
    <row r="39" spans="1:3" x14ac:dyDescent="0.25">
      <c r="A39" s="55" t="s">
        <v>176</v>
      </c>
      <c r="B39" s="41" t="s">
        <v>332</v>
      </c>
      <c r="C39" s="56" t="s">
        <v>375</v>
      </c>
    </row>
    <row r="40" spans="1:3" x14ac:dyDescent="0.25">
      <c r="A40" s="55" t="s">
        <v>152</v>
      </c>
      <c r="B40" s="41" t="s">
        <v>333</v>
      </c>
      <c r="C40" s="56" t="s">
        <v>376</v>
      </c>
    </row>
    <row r="41" spans="1:3" x14ac:dyDescent="0.25">
      <c r="A41" s="55" t="s">
        <v>210</v>
      </c>
      <c r="B41" s="41" t="s">
        <v>328</v>
      </c>
      <c r="C41" s="56" t="s">
        <v>377</v>
      </c>
    </row>
    <row r="42" spans="1:3" x14ac:dyDescent="0.25">
      <c r="A42" s="55" t="s">
        <v>209</v>
      </c>
      <c r="B42" s="41" t="s">
        <v>328</v>
      </c>
      <c r="C42" s="56" t="s">
        <v>378</v>
      </c>
    </row>
    <row r="43" spans="1:3" x14ac:dyDescent="0.25">
      <c r="A43" s="55" t="s">
        <v>76</v>
      </c>
      <c r="B43" s="41" t="s">
        <v>379</v>
      </c>
      <c r="C43" s="56" t="s">
        <v>380</v>
      </c>
    </row>
    <row r="44" spans="1:3" x14ac:dyDescent="0.25">
      <c r="A44" s="55" t="s">
        <v>140</v>
      </c>
      <c r="B44" s="41" t="s">
        <v>343</v>
      </c>
      <c r="C44" s="56" t="s">
        <v>381</v>
      </c>
    </row>
    <row r="45" spans="1:3" x14ac:dyDescent="0.25">
      <c r="A45" s="55" t="s">
        <v>134</v>
      </c>
      <c r="B45" s="41" t="s">
        <v>386</v>
      </c>
      <c r="C45" s="56"/>
    </row>
    <row r="46" spans="1:3" x14ac:dyDescent="0.25">
      <c r="A46" s="55" t="s">
        <v>126</v>
      </c>
      <c r="B46" s="41" t="s">
        <v>387</v>
      </c>
      <c r="C46" s="56"/>
    </row>
    <row r="47" spans="1:3" x14ac:dyDescent="0.25">
      <c r="A47" s="55" t="s">
        <v>128</v>
      </c>
      <c r="B47" s="41" t="s">
        <v>387</v>
      </c>
      <c r="C47" s="56"/>
    </row>
    <row r="48" spans="1:3" x14ac:dyDescent="0.25">
      <c r="A48" s="55" t="s">
        <v>135</v>
      </c>
      <c r="B48" s="41" t="s">
        <v>387</v>
      </c>
      <c r="C48" s="56"/>
    </row>
    <row r="49" spans="1:3" x14ac:dyDescent="0.25">
      <c r="A49" s="55" t="s">
        <v>117</v>
      </c>
      <c r="B49" s="41" t="s">
        <v>388</v>
      </c>
      <c r="C49" s="56"/>
    </row>
    <row r="50" spans="1:3" x14ac:dyDescent="0.25">
      <c r="A50" s="55" t="s">
        <v>104</v>
      </c>
      <c r="B50" s="41" t="s">
        <v>389</v>
      </c>
      <c r="C50" s="56"/>
    </row>
    <row r="51" spans="1:3" x14ac:dyDescent="0.25">
      <c r="A51" s="55" t="s">
        <v>106</v>
      </c>
      <c r="B51" s="41" t="s">
        <v>389</v>
      </c>
      <c r="C51" s="56"/>
    </row>
    <row r="52" spans="1:3" x14ac:dyDescent="0.25">
      <c r="A52" s="55" t="s">
        <v>127</v>
      </c>
      <c r="B52" s="41" t="s">
        <v>390</v>
      </c>
      <c r="C52" s="56"/>
    </row>
    <row r="53" spans="1:3" x14ac:dyDescent="0.25">
      <c r="A53" s="55" t="s">
        <v>129</v>
      </c>
      <c r="B53" s="41" t="s">
        <v>390</v>
      </c>
      <c r="C53" s="56"/>
    </row>
    <row r="54" spans="1:3" x14ac:dyDescent="0.25">
      <c r="A54" s="55" t="s">
        <v>114</v>
      </c>
      <c r="B54" s="41" t="s">
        <v>391</v>
      </c>
      <c r="C54" s="56"/>
    </row>
    <row r="55" spans="1:3" x14ac:dyDescent="0.25">
      <c r="A55" s="55" t="s">
        <v>105</v>
      </c>
      <c r="B55" s="41" t="s">
        <v>392</v>
      </c>
      <c r="C55" s="56"/>
    </row>
    <row r="56" spans="1:3" x14ac:dyDescent="0.25">
      <c r="A56" s="55" t="s">
        <v>130</v>
      </c>
      <c r="B56" s="41" t="s">
        <v>393</v>
      </c>
      <c r="C56" s="56"/>
    </row>
    <row r="57" spans="1:3" x14ac:dyDescent="0.25">
      <c r="A57" s="55" t="s">
        <v>67</v>
      </c>
      <c r="B57" s="41" t="s">
        <v>394</v>
      </c>
      <c r="C57" s="56"/>
    </row>
    <row r="58" spans="1:3" x14ac:dyDescent="0.25">
      <c r="A58" s="55" t="s">
        <v>68</v>
      </c>
      <c r="B58" s="41" t="s">
        <v>394</v>
      </c>
      <c r="C58" s="56"/>
    </row>
    <row r="59" spans="1:3" x14ac:dyDescent="0.25">
      <c r="A59" s="55" t="s">
        <v>73</v>
      </c>
      <c r="B59" s="41" t="s">
        <v>394</v>
      </c>
      <c r="C59" s="56"/>
    </row>
    <row r="60" spans="1:3" x14ac:dyDescent="0.25">
      <c r="A60" s="55" t="s">
        <v>96</v>
      </c>
      <c r="B60" s="41" t="s">
        <v>394</v>
      </c>
      <c r="C60" s="56"/>
    </row>
    <row r="61" spans="1:3" x14ac:dyDescent="0.25">
      <c r="A61" s="55" t="s">
        <v>97</v>
      </c>
      <c r="B61" s="41" t="s">
        <v>394</v>
      </c>
      <c r="C61" s="56"/>
    </row>
    <row r="62" spans="1:3" x14ac:dyDescent="0.25">
      <c r="A62" s="55" t="s">
        <v>100</v>
      </c>
      <c r="B62" s="41" t="s">
        <v>394</v>
      </c>
      <c r="C62" s="56"/>
    </row>
    <row r="63" spans="1:3" x14ac:dyDescent="0.25">
      <c r="A63" s="55" t="s">
        <v>21</v>
      </c>
      <c r="B63" s="41" t="s">
        <v>394</v>
      </c>
      <c r="C63" s="56"/>
    </row>
    <row r="64" spans="1:3" x14ac:dyDescent="0.25">
      <c r="A64" s="55" t="s">
        <v>110</v>
      </c>
      <c r="B64" s="41" t="s">
        <v>394</v>
      </c>
      <c r="C64" s="56"/>
    </row>
    <row r="65" spans="1:3" x14ac:dyDescent="0.25">
      <c r="A65" s="55" t="s">
        <v>111</v>
      </c>
      <c r="B65" s="41" t="s">
        <v>394</v>
      </c>
      <c r="C65" s="56"/>
    </row>
    <row r="66" spans="1:3" x14ac:dyDescent="0.25">
      <c r="A66" s="55" t="s">
        <v>112</v>
      </c>
      <c r="B66" s="41" t="s">
        <v>394</v>
      </c>
      <c r="C66" s="56"/>
    </row>
    <row r="67" spans="1:3" x14ac:dyDescent="0.25">
      <c r="A67" s="55" t="s">
        <v>184</v>
      </c>
      <c r="B67" s="41" t="s">
        <v>394</v>
      </c>
      <c r="C67" s="56"/>
    </row>
    <row r="68" spans="1:3" x14ac:dyDescent="0.25">
      <c r="A68" s="55" t="s">
        <v>185</v>
      </c>
      <c r="B68" s="41" t="s">
        <v>394</v>
      </c>
      <c r="C68" s="56"/>
    </row>
    <row r="69" spans="1:3" x14ac:dyDescent="0.25">
      <c r="A69" s="55" t="s">
        <v>187</v>
      </c>
      <c r="B69" s="41" t="s">
        <v>394</v>
      </c>
      <c r="C69" s="56"/>
    </row>
    <row r="70" spans="1:3" x14ac:dyDescent="0.25">
      <c r="A70" s="55" t="s">
        <v>189</v>
      </c>
      <c r="B70" s="41" t="s">
        <v>394</v>
      </c>
      <c r="C70" s="56"/>
    </row>
    <row r="71" spans="1:3" x14ac:dyDescent="0.25">
      <c r="A71" s="55" t="s">
        <v>190</v>
      </c>
      <c r="B71" s="41" t="s">
        <v>394</v>
      </c>
      <c r="C71" s="56"/>
    </row>
    <row r="72" spans="1:3" x14ac:dyDescent="0.25">
      <c r="A72" s="55" t="s">
        <v>193</v>
      </c>
      <c r="B72" s="41" t="s">
        <v>394</v>
      </c>
      <c r="C72" s="56"/>
    </row>
    <row r="73" spans="1:3" x14ac:dyDescent="0.25">
      <c r="A73" s="55" t="s">
        <v>196</v>
      </c>
      <c r="B73" s="41" t="s">
        <v>394</v>
      </c>
      <c r="C73" s="56"/>
    </row>
    <row r="74" spans="1:3" x14ac:dyDescent="0.25">
      <c r="A74" s="55" t="s">
        <v>197</v>
      </c>
      <c r="B74" s="41" t="s">
        <v>394</v>
      </c>
      <c r="C74" s="56"/>
    </row>
    <row r="75" spans="1:3" x14ac:dyDescent="0.25">
      <c r="A75" s="55" t="s">
        <v>82</v>
      </c>
      <c r="B75" s="41" t="s">
        <v>395</v>
      </c>
      <c r="C75" s="56"/>
    </row>
    <row r="76" spans="1:3" x14ac:dyDescent="0.25">
      <c r="A76" s="55" t="s">
        <v>121</v>
      </c>
      <c r="B76" s="41" t="s">
        <v>396</v>
      </c>
      <c r="C76" s="56"/>
    </row>
    <row r="77" spans="1:3" x14ac:dyDescent="0.25">
      <c r="A77" s="55" t="s">
        <v>113</v>
      </c>
      <c r="B77" s="41" t="s">
        <v>382</v>
      </c>
      <c r="C77" s="56"/>
    </row>
    <row r="78" spans="1:3" x14ac:dyDescent="0.25">
      <c r="A78" s="55" t="s">
        <v>120</v>
      </c>
      <c r="B78" s="41" t="s">
        <v>382</v>
      </c>
      <c r="C78" s="56"/>
    </row>
    <row r="79" spans="1:3" x14ac:dyDescent="0.25">
      <c r="A79" s="55" t="s">
        <v>122</v>
      </c>
      <c r="B79" s="41" t="s">
        <v>382</v>
      </c>
      <c r="C79" s="56"/>
    </row>
    <row r="80" spans="1:3" x14ac:dyDescent="0.25">
      <c r="A80" s="55" t="s">
        <v>123</v>
      </c>
      <c r="B80" s="41" t="s">
        <v>382</v>
      </c>
      <c r="C80" s="56"/>
    </row>
    <row r="81" spans="1:3" x14ac:dyDescent="0.25">
      <c r="A81" s="55" t="s">
        <v>124</v>
      </c>
      <c r="B81" s="41" t="s">
        <v>382</v>
      </c>
      <c r="C81" s="56"/>
    </row>
    <row r="82" spans="1:3" x14ac:dyDescent="0.25">
      <c r="A82" s="55" t="s">
        <v>125</v>
      </c>
      <c r="B82" s="41" t="s">
        <v>382</v>
      </c>
      <c r="C82" s="56"/>
    </row>
    <row r="83" spans="1:3" x14ac:dyDescent="0.25">
      <c r="A83" s="55" t="s">
        <v>90</v>
      </c>
      <c r="B83" s="41" t="s">
        <v>335</v>
      </c>
      <c r="C83" s="56"/>
    </row>
    <row r="84" spans="1:3" x14ac:dyDescent="0.25">
      <c r="A84" s="55" t="s">
        <v>215</v>
      </c>
      <c r="B84" s="41" t="s">
        <v>328</v>
      </c>
      <c r="C84" s="56"/>
    </row>
    <row r="85" spans="1:3" x14ac:dyDescent="0.25">
      <c r="A85" s="55" t="s">
        <v>118</v>
      </c>
      <c r="B85" s="41" t="s">
        <v>330</v>
      </c>
      <c r="C85" s="56"/>
    </row>
    <row r="86" spans="1:3" x14ac:dyDescent="0.25">
      <c r="A86" s="55" t="s">
        <v>119</v>
      </c>
      <c r="B86" s="41" t="s">
        <v>330</v>
      </c>
      <c r="C86" s="56"/>
    </row>
    <row r="87" spans="1:3" x14ac:dyDescent="0.25">
      <c r="A87" s="55" t="s">
        <v>78</v>
      </c>
      <c r="B87" s="41" t="s">
        <v>383</v>
      </c>
      <c r="C87" s="56"/>
    </row>
    <row r="88" spans="1:3" x14ac:dyDescent="0.25">
      <c r="A88" s="55" t="s">
        <v>139</v>
      </c>
      <c r="B88" s="41" t="s">
        <v>343</v>
      </c>
      <c r="C88" s="56"/>
    </row>
    <row r="89" spans="1:3" x14ac:dyDescent="0.25">
      <c r="A89" s="55" t="s">
        <v>177</v>
      </c>
      <c r="B89" s="41" t="s">
        <v>332</v>
      </c>
      <c r="C89" s="56"/>
    </row>
    <row r="90" spans="1:3" x14ac:dyDescent="0.25">
      <c r="A90" s="55" t="s">
        <v>62</v>
      </c>
      <c r="B90" s="41" t="s">
        <v>368</v>
      </c>
      <c r="C90" s="56"/>
    </row>
    <row r="91" spans="1:3" x14ac:dyDescent="0.25">
      <c r="A91" s="55" t="s">
        <v>64</v>
      </c>
      <c r="B91" s="41" t="s">
        <v>368</v>
      </c>
      <c r="C91" s="56"/>
    </row>
    <row r="92" spans="1:3" x14ac:dyDescent="0.25">
      <c r="A92" s="55" t="s">
        <v>65</v>
      </c>
      <c r="B92" s="41" t="s">
        <v>368</v>
      </c>
      <c r="C92" s="56"/>
    </row>
    <row r="93" spans="1:3" x14ac:dyDescent="0.25">
      <c r="A93" s="55" t="s">
        <v>71</v>
      </c>
      <c r="B93" s="41" t="s">
        <v>368</v>
      </c>
      <c r="C93" s="56"/>
    </row>
    <row r="94" spans="1:3" x14ac:dyDescent="0.25">
      <c r="A94" s="55" t="s">
        <v>80</v>
      </c>
      <c r="B94" s="41" t="s">
        <v>368</v>
      </c>
      <c r="C94" s="56"/>
    </row>
    <row r="95" spans="1:3" x14ac:dyDescent="0.25">
      <c r="A95" s="55" t="s">
        <v>83</v>
      </c>
      <c r="B95" s="41" t="s">
        <v>368</v>
      </c>
      <c r="C95" s="56"/>
    </row>
    <row r="96" spans="1:3" x14ac:dyDescent="0.25">
      <c r="A96" s="55" t="s">
        <v>52</v>
      </c>
      <c r="B96" s="41" t="s">
        <v>384</v>
      </c>
      <c r="C96" s="56"/>
    </row>
    <row r="97" spans="1:3" x14ac:dyDescent="0.25">
      <c r="A97" s="55" t="s">
        <v>94</v>
      </c>
      <c r="B97" s="41" t="s">
        <v>384</v>
      </c>
      <c r="C97" s="56"/>
    </row>
    <row r="98" spans="1:3" x14ac:dyDescent="0.25">
      <c r="A98" s="55" t="s">
        <v>75</v>
      </c>
      <c r="B98" s="41" t="s">
        <v>345</v>
      </c>
      <c r="C98" s="56"/>
    </row>
    <row r="99" spans="1:3" x14ac:dyDescent="0.25">
      <c r="A99" s="55" t="s">
        <v>77</v>
      </c>
      <c r="B99" s="41" t="s">
        <v>385</v>
      </c>
      <c r="C99" s="56"/>
    </row>
    <row r="100" spans="1:3" x14ac:dyDescent="0.25">
      <c r="A100" s="57" t="s">
        <v>178</v>
      </c>
      <c r="B100" s="58" t="s">
        <v>340</v>
      </c>
      <c r="C100" s="5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08C9-C3D8-400A-83A8-05EDE781CE52}">
  <sheetPr>
    <tabColor rgb="FF7030A0"/>
  </sheetPr>
  <dimension ref="A1:K97"/>
  <sheetViews>
    <sheetView workbookViewId="0">
      <selection activeCell="A75" sqref="A75"/>
    </sheetView>
  </sheetViews>
  <sheetFormatPr defaultRowHeight="15" x14ac:dyDescent="0.25"/>
  <cols>
    <col min="1" max="1" width="23.28515625" bestFit="1" customWidth="1"/>
    <col min="2" max="2" width="21.7109375" bestFit="1" customWidth="1"/>
    <col min="3" max="3" width="21.7109375" customWidth="1"/>
  </cols>
  <sheetData>
    <row r="1" spans="1:11" x14ac:dyDescent="0.25">
      <c r="A1" t="s">
        <v>311</v>
      </c>
      <c r="B1" t="s">
        <v>893</v>
      </c>
      <c r="C1" t="s">
        <v>894</v>
      </c>
      <c r="D1" t="s">
        <v>12</v>
      </c>
    </row>
    <row r="2" spans="1:11" hidden="1" x14ac:dyDescent="0.25">
      <c r="A2" t="s">
        <v>895</v>
      </c>
      <c r="B2" t="s">
        <v>896</v>
      </c>
      <c r="C2" t="s">
        <v>897</v>
      </c>
      <c r="D2" t="s">
        <v>898</v>
      </c>
    </row>
    <row r="3" spans="1:11" hidden="1" x14ac:dyDescent="0.25">
      <c r="A3" t="s">
        <v>896</v>
      </c>
      <c r="B3" t="s">
        <v>896</v>
      </c>
      <c r="C3" t="s">
        <v>899</v>
      </c>
      <c r="D3" t="s">
        <v>898</v>
      </c>
    </row>
    <row r="4" spans="1:11" hidden="1" x14ac:dyDescent="0.25">
      <c r="A4" t="s">
        <v>900</v>
      </c>
      <c r="B4" t="s">
        <v>896</v>
      </c>
      <c r="C4" t="s">
        <v>897</v>
      </c>
      <c r="D4" t="s">
        <v>898</v>
      </c>
    </row>
    <row r="5" spans="1:11" hidden="1" x14ac:dyDescent="0.25">
      <c r="A5" t="s">
        <v>901</v>
      </c>
      <c r="B5" t="s">
        <v>896</v>
      </c>
      <c r="C5" t="s">
        <v>897</v>
      </c>
      <c r="D5" t="s">
        <v>898</v>
      </c>
    </row>
    <row r="6" spans="1:11" hidden="1" x14ac:dyDescent="0.25">
      <c r="A6" t="s">
        <v>902</v>
      </c>
      <c r="B6" t="s">
        <v>896</v>
      </c>
      <c r="C6" t="s">
        <v>897</v>
      </c>
      <c r="D6" t="s">
        <v>898</v>
      </c>
    </row>
    <row r="7" spans="1:11" hidden="1" x14ac:dyDescent="0.25">
      <c r="A7" t="s">
        <v>903</v>
      </c>
      <c r="B7" t="s">
        <v>896</v>
      </c>
      <c r="C7" t="s">
        <v>897</v>
      </c>
      <c r="D7" t="s">
        <v>898</v>
      </c>
    </row>
    <row r="8" spans="1:11" hidden="1" x14ac:dyDescent="0.25">
      <c r="A8" t="s">
        <v>903</v>
      </c>
      <c r="B8" t="s">
        <v>896</v>
      </c>
      <c r="C8" t="s">
        <v>897</v>
      </c>
      <c r="D8" t="s">
        <v>898</v>
      </c>
    </row>
    <row r="9" spans="1:11" hidden="1" x14ac:dyDescent="0.25">
      <c r="A9" t="s">
        <v>904</v>
      </c>
      <c r="B9" t="s">
        <v>896</v>
      </c>
      <c r="C9" t="s">
        <v>897</v>
      </c>
      <c r="D9" t="s">
        <v>898</v>
      </c>
    </row>
    <row r="10" spans="1:11" hidden="1" x14ac:dyDescent="0.25">
      <c r="A10" t="s">
        <v>905</v>
      </c>
      <c r="B10" t="s">
        <v>896</v>
      </c>
      <c r="C10" t="s">
        <v>897</v>
      </c>
      <c r="D10" t="s">
        <v>898</v>
      </c>
    </row>
    <row r="11" spans="1:11" hidden="1" x14ac:dyDescent="0.25">
      <c r="A11" t="s">
        <v>906</v>
      </c>
      <c r="B11" t="s">
        <v>896</v>
      </c>
      <c r="C11" t="s">
        <v>897</v>
      </c>
      <c r="D11" t="s">
        <v>898</v>
      </c>
    </row>
    <row r="12" spans="1:11" hidden="1" x14ac:dyDescent="0.25">
      <c r="A12" t="s">
        <v>907</v>
      </c>
      <c r="B12" t="s">
        <v>896</v>
      </c>
      <c r="C12" t="s">
        <v>897</v>
      </c>
      <c r="D12" t="s">
        <v>898</v>
      </c>
    </row>
    <row r="13" spans="1:11" hidden="1" x14ac:dyDescent="0.25">
      <c r="A13" t="s">
        <v>908</v>
      </c>
      <c r="B13" t="s">
        <v>896</v>
      </c>
      <c r="C13" t="s">
        <v>897</v>
      </c>
      <c r="D13" t="s">
        <v>898</v>
      </c>
    </row>
    <row r="14" spans="1:11" hidden="1" x14ac:dyDescent="0.25">
      <c r="A14" t="s">
        <v>909</v>
      </c>
      <c r="B14" t="s">
        <v>910</v>
      </c>
      <c r="C14" t="s">
        <v>897</v>
      </c>
      <c r="D14" t="s">
        <v>911</v>
      </c>
    </row>
    <row r="15" spans="1:11" hidden="1" x14ac:dyDescent="0.25">
      <c r="A15" t="s">
        <v>912</v>
      </c>
      <c r="B15" t="s">
        <v>910</v>
      </c>
      <c r="C15" t="s">
        <v>897</v>
      </c>
      <c r="D15" t="s">
        <v>911</v>
      </c>
    </row>
    <row r="16" spans="1:11" hidden="1" x14ac:dyDescent="0.25">
      <c r="A16" t="s">
        <v>912</v>
      </c>
      <c r="B16" t="s">
        <v>910</v>
      </c>
      <c r="C16" t="s">
        <v>897</v>
      </c>
      <c r="D16" t="s">
        <v>911</v>
      </c>
      <c r="K16" t="s">
        <v>1032</v>
      </c>
    </row>
    <row r="17" spans="1:4" hidden="1" x14ac:dyDescent="0.25">
      <c r="A17" t="s">
        <v>913</v>
      </c>
      <c r="B17" t="s">
        <v>910</v>
      </c>
      <c r="C17" t="s">
        <v>897</v>
      </c>
      <c r="D17" t="s">
        <v>911</v>
      </c>
    </row>
    <row r="18" spans="1:4" hidden="1" x14ac:dyDescent="0.25">
      <c r="A18" t="s">
        <v>914</v>
      </c>
      <c r="B18" t="s">
        <v>910</v>
      </c>
      <c r="C18" t="s">
        <v>897</v>
      </c>
      <c r="D18" t="s">
        <v>911</v>
      </c>
    </row>
    <row r="19" spans="1:4" hidden="1" x14ac:dyDescent="0.25">
      <c r="A19" t="s">
        <v>910</v>
      </c>
      <c r="B19" t="s">
        <v>910</v>
      </c>
      <c r="C19" t="s">
        <v>897</v>
      </c>
      <c r="D19" t="s">
        <v>911</v>
      </c>
    </row>
    <row r="20" spans="1:4" hidden="1" x14ac:dyDescent="0.25">
      <c r="A20" t="s">
        <v>915</v>
      </c>
      <c r="B20" t="s">
        <v>910</v>
      </c>
      <c r="C20" t="s">
        <v>897</v>
      </c>
      <c r="D20" t="s">
        <v>911</v>
      </c>
    </row>
    <row r="21" spans="1:4" hidden="1" x14ac:dyDescent="0.25">
      <c r="A21" t="s">
        <v>916</v>
      </c>
      <c r="B21" t="s">
        <v>910</v>
      </c>
      <c r="C21" t="s">
        <v>897</v>
      </c>
      <c r="D21" t="s">
        <v>911</v>
      </c>
    </row>
    <row r="22" spans="1:4" hidden="1" x14ac:dyDescent="0.25">
      <c r="A22" t="s">
        <v>917</v>
      </c>
      <c r="B22" t="s">
        <v>910</v>
      </c>
      <c r="C22" t="s">
        <v>897</v>
      </c>
      <c r="D22" t="s">
        <v>911</v>
      </c>
    </row>
    <row r="23" spans="1:4" hidden="1" x14ac:dyDescent="0.25">
      <c r="A23" t="s">
        <v>918</v>
      </c>
      <c r="B23" t="s">
        <v>910</v>
      </c>
      <c r="C23" t="s">
        <v>897</v>
      </c>
      <c r="D23" t="s">
        <v>911</v>
      </c>
    </row>
    <row r="24" spans="1:4" hidden="1" x14ac:dyDescent="0.25">
      <c r="A24" t="s">
        <v>919</v>
      </c>
      <c r="B24" t="s">
        <v>910</v>
      </c>
      <c r="C24" t="s">
        <v>897</v>
      </c>
      <c r="D24" t="s">
        <v>911</v>
      </c>
    </row>
    <row r="25" spans="1:4" hidden="1" x14ac:dyDescent="0.25">
      <c r="A25" t="s">
        <v>920</v>
      </c>
      <c r="B25" t="s">
        <v>910</v>
      </c>
      <c r="C25" t="s">
        <v>897</v>
      </c>
      <c r="D25" t="s">
        <v>911</v>
      </c>
    </row>
    <row r="26" spans="1:4" hidden="1" x14ac:dyDescent="0.25">
      <c r="A26" t="s">
        <v>921</v>
      </c>
      <c r="B26" t="s">
        <v>910</v>
      </c>
      <c r="C26" t="s">
        <v>899</v>
      </c>
      <c r="D26" t="s">
        <v>911</v>
      </c>
    </row>
    <row r="27" spans="1:4" hidden="1" x14ac:dyDescent="0.25">
      <c r="A27" t="s">
        <v>922</v>
      </c>
      <c r="B27" t="s">
        <v>910</v>
      </c>
      <c r="C27" t="s">
        <v>897</v>
      </c>
      <c r="D27" t="s">
        <v>911</v>
      </c>
    </row>
    <row r="28" spans="1:4" hidden="1" x14ac:dyDescent="0.25">
      <c r="A28" t="s">
        <v>923</v>
      </c>
      <c r="B28" t="s">
        <v>910</v>
      </c>
      <c r="C28" t="s">
        <v>897</v>
      </c>
      <c r="D28" t="s">
        <v>911</v>
      </c>
    </row>
    <row r="29" spans="1:4" hidden="1" x14ac:dyDescent="0.25">
      <c r="A29" t="s">
        <v>924</v>
      </c>
      <c r="B29" t="s">
        <v>910</v>
      </c>
      <c r="C29" t="s">
        <v>897</v>
      </c>
      <c r="D29" t="s">
        <v>911</v>
      </c>
    </row>
    <row r="30" spans="1:4" hidden="1" x14ac:dyDescent="0.25">
      <c r="A30" t="s">
        <v>925</v>
      </c>
      <c r="B30" t="s">
        <v>910</v>
      </c>
      <c r="C30" t="s">
        <v>897</v>
      </c>
      <c r="D30" t="s">
        <v>911</v>
      </c>
    </row>
    <row r="31" spans="1:4" hidden="1" x14ac:dyDescent="0.25">
      <c r="A31" t="s">
        <v>926</v>
      </c>
      <c r="B31" t="s">
        <v>910</v>
      </c>
      <c r="C31" t="s">
        <v>897</v>
      </c>
      <c r="D31" t="s">
        <v>911</v>
      </c>
    </row>
    <row r="32" spans="1:4" hidden="1" x14ac:dyDescent="0.25">
      <c r="A32" t="s">
        <v>927</v>
      </c>
      <c r="B32" t="s">
        <v>910</v>
      </c>
      <c r="C32" t="s">
        <v>897</v>
      </c>
      <c r="D32" t="s">
        <v>911</v>
      </c>
    </row>
    <row r="33" spans="1:4" hidden="1" x14ac:dyDescent="0.25">
      <c r="A33" t="s">
        <v>928</v>
      </c>
      <c r="B33" t="s">
        <v>910</v>
      </c>
      <c r="C33" t="s">
        <v>897</v>
      </c>
      <c r="D33" t="s">
        <v>911</v>
      </c>
    </row>
    <row r="34" spans="1:4" hidden="1" x14ac:dyDescent="0.25">
      <c r="A34" t="s">
        <v>929</v>
      </c>
      <c r="B34" t="s">
        <v>910</v>
      </c>
      <c r="C34" t="s">
        <v>897</v>
      </c>
      <c r="D34" t="s">
        <v>911</v>
      </c>
    </row>
    <row r="35" spans="1:4" x14ac:dyDescent="0.25">
      <c r="A35" t="s">
        <v>930</v>
      </c>
      <c r="B35" t="s">
        <v>910</v>
      </c>
      <c r="C35" t="s">
        <v>897</v>
      </c>
      <c r="D35" t="s">
        <v>911</v>
      </c>
    </row>
    <row r="36" spans="1:4" hidden="1" x14ac:dyDescent="0.25">
      <c r="A36" t="s">
        <v>931</v>
      </c>
      <c r="B36" t="s">
        <v>910</v>
      </c>
      <c r="C36" t="s">
        <v>897</v>
      </c>
      <c r="D36" t="s">
        <v>911</v>
      </c>
    </row>
    <row r="37" spans="1:4" hidden="1" x14ac:dyDescent="0.25">
      <c r="A37" t="s">
        <v>932</v>
      </c>
      <c r="B37" t="s">
        <v>910</v>
      </c>
      <c r="C37" t="s">
        <v>897</v>
      </c>
      <c r="D37" t="s">
        <v>911</v>
      </c>
    </row>
    <row r="38" spans="1:4" hidden="1" x14ac:dyDescent="0.25">
      <c r="A38" t="s">
        <v>933</v>
      </c>
      <c r="B38" t="s">
        <v>933</v>
      </c>
      <c r="C38" t="s">
        <v>897</v>
      </c>
      <c r="D38" t="s">
        <v>934</v>
      </c>
    </row>
    <row r="39" spans="1:4" hidden="1" x14ac:dyDescent="0.25">
      <c r="A39" t="s">
        <v>935</v>
      </c>
      <c r="B39" t="s">
        <v>933</v>
      </c>
      <c r="C39" t="s">
        <v>899</v>
      </c>
      <c r="D39" t="s">
        <v>934</v>
      </c>
    </row>
    <row r="40" spans="1:4" hidden="1" x14ac:dyDescent="0.25">
      <c r="A40" t="s">
        <v>936</v>
      </c>
      <c r="B40" t="s">
        <v>933</v>
      </c>
      <c r="C40" t="s">
        <v>897</v>
      </c>
      <c r="D40" t="s">
        <v>934</v>
      </c>
    </row>
    <row r="41" spans="1:4" hidden="1" x14ac:dyDescent="0.25">
      <c r="A41" t="s">
        <v>937</v>
      </c>
      <c r="B41" t="s">
        <v>933</v>
      </c>
      <c r="C41" t="s">
        <v>897</v>
      </c>
      <c r="D41" t="s">
        <v>934</v>
      </c>
    </row>
    <row r="42" spans="1:4" hidden="1" x14ac:dyDescent="0.25">
      <c r="A42" t="s">
        <v>938</v>
      </c>
      <c r="B42" t="s">
        <v>933</v>
      </c>
      <c r="C42" t="s">
        <v>897</v>
      </c>
      <c r="D42" t="s">
        <v>934</v>
      </c>
    </row>
    <row r="43" spans="1:4" hidden="1" x14ac:dyDescent="0.25">
      <c r="A43" t="s">
        <v>939</v>
      </c>
      <c r="B43" t="s">
        <v>933</v>
      </c>
      <c r="C43" t="s">
        <v>897</v>
      </c>
      <c r="D43" t="s">
        <v>934</v>
      </c>
    </row>
    <row r="44" spans="1:4" hidden="1" x14ac:dyDescent="0.25">
      <c r="A44" t="s">
        <v>940</v>
      </c>
      <c r="B44" t="s">
        <v>933</v>
      </c>
      <c r="C44" t="s">
        <v>897</v>
      </c>
      <c r="D44" t="s">
        <v>934</v>
      </c>
    </row>
    <row r="45" spans="1:4" hidden="1" x14ac:dyDescent="0.25">
      <c r="A45" t="s">
        <v>941</v>
      </c>
      <c r="B45" t="s">
        <v>933</v>
      </c>
      <c r="C45" t="s">
        <v>897</v>
      </c>
      <c r="D45" t="s">
        <v>934</v>
      </c>
    </row>
    <row r="46" spans="1:4" hidden="1" x14ac:dyDescent="0.25">
      <c r="A46" t="s">
        <v>942</v>
      </c>
      <c r="B46" t="s">
        <v>933</v>
      </c>
      <c r="C46" t="s">
        <v>897</v>
      </c>
      <c r="D46" t="s">
        <v>934</v>
      </c>
    </row>
    <row r="47" spans="1:4" hidden="1" x14ac:dyDescent="0.25">
      <c r="A47" t="s">
        <v>943</v>
      </c>
      <c r="B47" t="s">
        <v>933</v>
      </c>
      <c r="C47" t="s">
        <v>897</v>
      </c>
      <c r="D47" t="s">
        <v>934</v>
      </c>
    </row>
    <row r="48" spans="1:4" hidden="1" x14ac:dyDescent="0.25">
      <c r="A48" t="s">
        <v>944</v>
      </c>
      <c r="B48" t="s">
        <v>944</v>
      </c>
      <c r="C48" t="s">
        <v>897</v>
      </c>
      <c r="D48" t="s">
        <v>945</v>
      </c>
    </row>
    <row r="49" spans="1:4" hidden="1" x14ac:dyDescent="0.25">
      <c r="A49" t="s">
        <v>946</v>
      </c>
      <c r="B49" t="s">
        <v>944</v>
      </c>
      <c r="C49" t="s">
        <v>947</v>
      </c>
      <c r="D49" t="s">
        <v>945</v>
      </c>
    </row>
    <row r="50" spans="1:4" hidden="1" x14ac:dyDescent="0.25">
      <c r="A50" t="s">
        <v>948</v>
      </c>
      <c r="B50" t="s">
        <v>944</v>
      </c>
      <c r="C50" t="s">
        <v>897</v>
      </c>
      <c r="D50" t="s">
        <v>945</v>
      </c>
    </row>
    <row r="51" spans="1:4" hidden="1" x14ac:dyDescent="0.25">
      <c r="A51" t="s">
        <v>940</v>
      </c>
      <c r="B51" t="s">
        <v>944</v>
      </c>
      <c r="C51" t="s">
        <v>897</v>
      </c>
      <c r="D51" t="s">
        <v>945</v>
      </c>
    </row>
    <row r="52" spans="1:4" hidden="1" x14ac:dyDescent="0.25">
      <c r="A52" t="s">
        <v>949</v>
      </c>
      <c r="B52" t="s">
        <v>944</v>
      </c>
      <c r="C52" t="s">
        <v>897</v>
      </c>
      <c r="D52" t="s">
        <v>945</v>
      </c>
    </row>
    <row r="53" spans="1:4" hidden="1" x14ac:dyDescent="0.25">
      <c r="A53" t="s">
        <v>950</v>
      </c>
      <c r="B53" t="s">
        <v>944</v>
      </c>
      <c r="C53" t="s">
        <v>897</v>
      </c>
      <c r="D53" t="s">
        <v>945</v>
      </c>
    </row>
    <row r="54" spans="1:4" hidden="1" x14ac:dyDescent="0.25">
      <c r="A54" t="s">
        <v>951</v>
      </c>
      <c r="B54" t="s">
        <v>944</v>
      </c>
      <c r="C54" t="s">
        <v>897</v>
      </c>
      <c r="D54" t="s">
        <v>945</v>
      </c>
    </row>
    <row r="55" spans="1:4" hidden="1" x14ac:dyDescent="0.25">
      <c r="A55" t="s">
        <v>952</v>
      </c>
      <c r="B55" t="s">
        <v>944</v>
      </c>
      <c r="C55" t="s">
        <v>897</v>
      </c>
      <c r="D55" t="s">
        <v>945</v>
      </c>
    </row>
    <row r="56" spans="1:4" hidden="1" x14ac:dyDescent="0.25">
      <c r="A56" t="s">
        <v>953</v>
      </c>
      <c r="B56" t="s">
        <v>944</v>
      </c>
      <c r="C56" t="s">
        <v>897</v>
      </c>
      <c r="D56" t="s">
        <v>945</v>
      </c>
    </row>
    <row r="57" spans="1:4" hidden="1" x14ac:dyDescent="0.25">
      <c r="A57" t="s">
        <v>954</v>
      </c>
      <c r="B57" t="s">
        <v>944</v>
      </c>
      <c r="C57" t="s">
        <v>897</v>
      </c>
      <c r="D57" t="s">
        <v>945</v>
      </c>
    </row>
    <row r="58" spans="1:4" hidden="1" x14ac:dyDescent="0.25">
      <c r="A58" t="s">
        <v>955</v>
      </c>
      <c r="B58" t="s">
        <v>944</v>
      </c>
      <c r="C58" t="s">
        <v>897</v>
      </c>
      <c r="D58" t="s">
        <v>945</v>
      </c>
    </row>
    <row r="59" spans="1:4" hidden="1" x14ac:dyDescent="0.25">
      <c r="A59" t="s">
        <v>956</v>
      </c>
      <c r="B59" t="s">
        <v>956</v>
      </c>
      <c r="C59" t="s">
        <v>897</v>
      </c>
      <c r="D59" t="s">
        <v>957</v>
      </c>
    </row>
    <row r="60" spans="1:4" hidden="1" x14ac:dyDescent="0.25">
      <c r="A60" t="s">
        <v>958</v>
      </c>
      <c r="B60" t="s">
        <v>956</v>
      </c>
      <c r="C60" t="s">
        <v>897</v>
      </c>
      <c r="D60" t="s">
        <v>957</v>
      </c>
    </row>
    <row r="61" spans="1:4" hidden="1" x14ac:dyDescent="0.25">
      <c r="A61" t="s">
        <v>959</v>
      </c>
      <c r="B61" t="s">
        <v>956</v>
      </c>
      <c r="C61" t="s">
        <v>897</v>
      </c>
      <c r="D61" t="s">
        <v>957</v>
      </c>
    </row>
    <row r="62" spans="1:4" hidden="1" x14ac:dyDescent="0.25">
      <c r="A62" t="s">
        <v>960</v>
      </c>
      <c r="B62" t="s">
        <v>956</v>
      </c>
      <c r="C62" t="s">
        <v>897</v>
      </c>
      <c r="D62" t="s">
        <v>957</v>
      </c>
    </row>
    <row r="63" spans="1:4" hidden="1" x14ac:dyDescent="0.25">
      <c r="A63" t="s">
        <v>961</v>
      </c>
      <c r="B63" t="s">
        <v>956</v>
      </c>
      <c r="C63" t="s">
        <v>897</v>
      </c>
      <c r="D63" t="s">
        <v>957</v>
      </c>
    </row>
    <row r="64" spans="1:4" hidden="1" x14ac:dyDescent="0.25">
      <c r="A64" t="s">
        <v>962</v>
      </c>
      <c r="B64" t="s">
        <v>956</v>
      </c>
      <c r="C64" t="s">
        <v>897</v>
      </c>
      <c r="D64" t="s">
        <v>957</v>
      </c>
    </row>
    <row r="65" spans="1:4" hidden="1" x14ac:dyDescent="0.25">
      <c r="A65" t="s">
        <v>963</v>
      </c>
      <c r="B65" t="s">
        <v>956</v>
      </c>
      <c r="C65" t="s">
        <v>897</v>
      </c>
      <c r="D65" t="s">
        <v>957</v>
      </c>
    </row>
    <row r="66" spans="1:4" hidden="1" x14ac:dyDescent="0.25">
      <c r="A66" t="s">
        <v>964</v>
      </c>
      <c r="B66" t="s">
        <v>964</v>
      </c>
      <c r="C66" t="s">
        <v>897</v>
      </c>
      <c r="D66" t="s">
        <v>965</v>
      </c>
    </row>
    <row r="67" spans="1:4" hidden="1" x14ac:dyDescent="0.25">
      <c r="A67" t="s">
        <v>966</v>
      </c>
      <c r="B67" t="s">
        <v>964</v>
      </c>
      <c r="C67" t="s">
        <v>897</v>
      </c>
      <c r="D67" t="s">
        <v>965</v>
      </c>
    </row>
    <row r="68" spans="1:4" hidden="1" x14ac:dyDescent="0.25">
      <c r="A68" t="s">
        <v>967</v>
      </c>
      <c r="B68" t="s">
        <v>964</v>
      </c>
      <c r="C68" t="s">
        <v>897</v>
      </c>
      <c r="D68" t="s">
        <v>965</v>
      </c>
    </row>
    <row r="69" spans="1:4" hidden="1" x14ac:dyDescent="0.25">
      <c r="A69" t="s">
        <v>968</v>
      </c>
      <c r="B69" t="s">
        <v>964</v>
      </c>
      <c r="C69" t="s">
        <v>899</v>
      </c>
      <c r="D69" t="s">
        <v>965</v>
      </c>
    </row>
    <row r="70" spans="1:4" hidden="1" x14ac:dyDescent="0.25">
      <c r="A70" t="s">
        <v>969</v>
      </c>
      <c r="B70" t="s">
        <v>964</v>
      </c>
      <c r="C70" t="s">
        <v>897</v>
      </c>
      <c r="D70" t="s">
        <v>965</v>
      </c>
    </row>
    <row r="71" spans="1:4" hidden="1" x14ac:dyDescent="0.25">
      <c r="A71" t="s">
        <v>970</v>
      </c>
      <c r="B71" t="s">
        <v>971</v>
      </c>
      <c r="D71" t="s">
        <v>965</v>
      </c>
    </row>
    <row r="72" spans="1:4" hidden="1" x14ac:dyDescent="0.25">
      <c r="A72" t="s">
        <v>972</v>
      </c>
      <c r="B72" t="s">
        <v>971</v>
      </c>
      <c r="C72" t="s">
        <v>947</v>
      </c>
      <c r="D72" t="s">
        <v>965</v>
      </c>
    </row>
    <row r="73" spans="1:4" hidden="1" x14ac:dyDescent="0.25">
      <c r="A73" t="s">
        <v>973</v>
      </c>
      <c r="B73" t="s">
        <v>964</v>
      </c>
      <c r="C73" t="s">
        <v>947</v>
      </c>
      <c r="D73" t="s">
        <v>965</v>
      </c>
    </row>
    <row r="74" spans="1:4" hidden="1" x14ac:dyDescent="0.25">
      <c r="A74" t="s">
        <v>974</v>
      </c>
      <c r="B74" t="s">
        <v>971</v>
      </c>
      <c r="D74" t="s">
        <v>965</v>
      </c>
    </row>
    <row r="75" spans="1:4" hidden="1" x14ac:dyDescent="0.25"/>
    <row r="76" spans="1:4" hidden="1" x14ac:dyDescent="0.25"/>
    <row r="77" spans="1:4" hidden="1" x14ac:dyDescent="0.25"/>
    <row r="78" spans="1:4" hidden="1" x14ac:dyDescent="0.25"/>
    <row r="79" spans="1:4" hidden="1" x14ac:dyDescent="0.25"/>
    <row r="80" spans="1:4" hidden="1" x14ac:dyDescent="0.25"/>
    <row r="81" spans="1:4" hidden="1" x14ac:dyDescent="0.25"/>
    <row r="82" spans="1:4" hidden="1" x14ac:dyDescent="0.25"/>
    <row r="83" spans="1:4" hidden="1" x14ac:dyDescent="0.25"/>
    <row r="84" spans="1:4" hidden="1" x14ac:dyDescent="0.25"/>
    <row r="85" spans="1:4" hidden="1" x14ac:dyDescent="0.25"/>
    <row r="86" spans="1:4" hidden="1" x14ac:dyDescent="0.25"/>
    <row r="87" spans="1:4" hidden="1" x14ac:dyDescent="0.25"/>
    <row r="88" spans="1:4" hidden="1" x14ac:dyDescent="0.25"/>
    <row r="89" spans="1:4" hidden="1" x14ac:dyDescent="0.25"/>
    <row r="90" spans="1:4" hidden="1" x14ac:dyDescent="0.25"/>
    <row r="91" spans="1:4" hidden="1" x14ac:dyDescent="0.25"/>
    <row r="92" spans="1:4" hidden="1" x14ac:dyDescent="0.25"/>
    <row r="93" spans="1:4" hidden="1" x14ac:dyDescent="0.25"/>
    <row r="94" spans="1:4" hidden="1" x14ac:dyDescent="0.25"/>
    <row r="95" spans="1:4" hidden="1" x14ac:dyDescent="0.25"/>
    <row r="96" spans="1:4" hidden="1" x14ac:dyDescent="0.25">
      <c r="A96" t="s">
        <v>964</v>
      </c>
      <c r="B96" t="s">
        <v>971</v>
      </c>
      <c r="D96" t="s">
        <v>965</v>
      </c>
    </row>
    <row r="97" spans="1:4" hidden="1" x14ac:dyDescent="0.25">
      <c r="A97" t="s">
        <v>1005</v>
      </c>
      <c r="B97" t="s">
        <v>933</v>
      </c>
      <c r="C97" t="s">
        <v>897</v>
      </c>
      <c r="D97" t="s">
        <v>934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6FC22-84FD-4B4A-883F-22E004815C8C}">
  <sheetPr>
    <tabColor rgb="FFFFFF00"/>
  </sheetPr>
  <dimension ref="O1:T10"/>
  <sheetViews>
    <sheetView topLeftCell="A7" workbookViewId="0">
      <selection activeCell="S32" sqref="S32"/>
    </sheetView>
  </sheetViews>
  <sheetFormatPr defaultRowHeight="15" x14ac:dyDescent="0.25"/>
  <sheetData>
    <row r="1" spans="15:20" ht="15.75" thickBot="1" x14ac:dyDescent="0.3">
      <c r="O1" s="386" t="s">
        <v>990</v>
      </c>
      <c r="P1" s="387"/>
      <c r="Q1" s="387"/>
      <c r="R1" s="387"/>
      <c r="S1" s="387"/>
      <c r="T1" s="388"/>
    </row>
    <row r="2" spans="15:20" x14ac:dyDescent="0.25">
      <c r="O2" s="217" t="s">
        <v>975</v>
      </c>
      <c r="P2" s="218" t="s">
        <v>976</v>
      </c>
      <c r="Q2" s="219" t="s">
        <v>977</v>
      </c>
      <c r="R2" s="218" t="s">
        <v>978</v>
      </c>
      <c r="S2" s="219" t="s">
        <v>979</v>
      </c>
      <c r="T2" s="220" t="s">
        <v>980</v>
      </c>
    </row>
    <row r="3" spans="15:20" x14ac:dyDescent="0.25">
      <c r="O3" s="391" t="s">
        <v>981</v>
      </c>
      <c r="P3" s="393" t="s">
        <v>982</v>
      </c>
      <c r="Q3" s="395" t="s">
        <v>983</v>
      </c>
      <c r="R3" s="393" t="s">
        <v>984</v>
      </c>
      <c r="S3" s="395" t="s">
        <v>985</v>
      </c>
      <c r="T3" s="397" t="s">
        <v>986</v>
      </c>
    </row>
    <row r="4" spans="15:20" ht="15.75" thickBot="1" x14ac:dyDescent="0.3">
      <c r="O4" s="392"/>
      <c r="P4" s="394"/>
      <c r="Q4" s="396"/>
      <c r="R4" s="394"/>
      <c r="S4" s="396"/>
      <c r="T4" s="398"/>
    </row>
    <row r="5" spans="15:20" ht="15.75" thickBot="1" x14ac:dyDescent="0.3">
      <c r="O5" s="221"/>
      <c r="P5" s="40"/>
      <c r="Q5" s="40"/>
      <c r="R5" s="40"/>
      <c r="S5" s="40"/>
      <c r="T5" s="222"/>
    </row>
    <row r="6" spans="15:20" ht="16.5" thickBot="1" x14ac:dyDescent="0.3">
      <c r="O6" s="226" t="s">
        <v>987</v>
      </c>
      <c r="P6" s="227"/>
      <c r="Q6" s="227"/>
      <c r="R6" s="227"/>
      <c r="S6" s="389" t="s">
        <v>988</v>
      </c>
      <c r="T6" s="390"/>
    </row>
    <row r="7" spans="15:20" x14ac:dyDescent="0.25">
      <c r="O7" s="221"/>
      <c r="P7" s="40"/>
      <c r="Q7" s="40"/>
      <c r="R7" s="40"/>
      <c r="S7" s="40"/>
      <c r="T7" s="222"/>
    </row>
    <row r="8" spans="15:20" x14ac:dyDescent="0.25">
      <c r="O8" s="384" t="s">
        <v>989</v>
      </c>
      <c r="P8" s="385"/>
      <c r="Q8" s="385"/>
      <c r="R8" s="385"/>
      <c r="S8" s="385"/>
      <c r="T8" s="222"/>
    </row>
    <row r="9" spans="15:20" x14ac:dyDescent="0.25">
      <c r="O9" s="384"/>
      <c r="P9" s="385"/>
      <c r="Q9" s="385"/>
      <c r="R9" s="385"/>
      <c r="S9" s="385"/>
      <c r="T9" s="222"/>
    </row>
    <row r="10" spans="15:20" ht="15.75" thickBot="1" x14ac:dyDescent="0.3">
      <c r="O10" s="223"/>
      <c r="P10" s="224"/>
      <c r="Q10" s="224"/>
      <c r="R10" s="224"/>
      <c r="S10" s="224"/>
      <c r="T10" s="225"/>
    </row>
  </sheetData>
  <mergeCells count="9">
    <mergeCell ref="O8:S9"/>
    <mergeCell ref="O1:T1"/>
    <mergeCell ref="S6:T6"/>
    <mergeCell ref="O3:O4"/>
    <mergeCell ref="P3:P4"/>
    <mergeCell ref="Q3:Q4"/>
    <mergeCell ref="R3:R4"/>
    <mergeCell ref="S3:S4"/>
    <mergeCell ref="T3:T4"/>
  </mergeCells>
  <hyperlinks>
    <hyperlink ref="O8:S9" r:id="rId1" display="MAPA CTE" xr:uid="{4D4A9712-F20D-4D6C-8A90-57674AB58D86}"/>
  </hyperlinks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204"/>
  <sheetViews>
    <sheetView zoomScaleSheetLayoutView="100" workbookViewId="0">
      <selection activeCell="M20" sqref="M20"/>
    </sheetView>
  </sheetViews>
  <sheetFormatPr defaultColWidth="9" defaultRowHeight="15" x14ac:dyDescent="0.25"/>
  <cols>
    <col min="1" max="1" width="23.5703125" style="6" bestFit="1" customWidth="1"/>
  </cols>
  <sheetData>
    <row r="1" spans="1:1" ht="15.75" x14ac:dyDescent="0.25">
      <c r="A1" s="7" t="s">
        <v>24</v>
      </c>
    </row>
    <row r="2" spans="1:1" x14ac:dyDescent="0.25">
      <c r="A2" s="9" t="s">
        <v>25</v>
      </c>
    </row>
    <row r="3" spans="1:1" x14ac:dyDescent="0.25">
      <c r="A3" s="9" t="s">
        <v>26</v>
      </c>
    </row>
    <row r="4" spans="1:1" ht="15.6" customHeight="1" x14ac:dyDescent="0.25">
      <c r="A4" s="8" t="s">
        <v>27</v>
      </c>
    </row>
    <row r="5" spans="1:1" ht="15.6" customHeight="1" x14ac:dyDescent="0.25">
      <c r="A5" s="8" t="s">
        <v>28</v>
      </c>
    </row>
    <row r="6" spans="1:1" x14ac:dyDescent="0.25">
      <c r="A6" s="270" t="s">
        <v>1016</v>
      </c>
    </row>
    <row r="7" spans="1:1" ht="16.5" thickBot="1" x14ac:dyDescent="0.3">
      <c r="A7" s="12" t="s">
        <v>29</v>
      </c>
    </row>
    <row r="8" spans="1:1" ht="16.5" thickBot="1" x14ac:dyDescent="0.3">
      <c r="A8" s="64" t="s">
        <v>397</v>
      </c>
    </row>
    <row r="9" spans="1:1" x14ac:dyDescent="0.25">
      <c r="A9" s="270" t="s">
        <v>884</v>
      </c>
    </row>
    <row r="10" spans="1:1" x14ac:dyDescent="0.25">
      <c r="A10" s="8" t="s">
        <v>30</v>
      </c>
    </row>
    <row r="11" spans="1:1" x14ac:dyDescent="0.25">
      <c r="A11" s="23" t="s">
        <v>31</v>
      </c>
    </row>
    <row r="12" spans="1:1" x14ac:dyDescent="0.25">
      <c r="A12" s="9" t="s">
        <v>32</v>
      </c>
    </row>
    <row r="13" spans="1:1" x14ac:dyDescent="0.25">
      <c r="A13" s="8" t="s">
        <v>33</v>
      </c>
    </row>
    <row r="14" spans="1:1" x14ac:dyDescent="0.25">
      <c r="A14" s="11" t="s">
        <v>34</v>
      </c>
    </row>
    <row r="15" spans="1:1" x14ac:dyDescent="0.25">
      <c r="A15" s="8" t="s">
        <v>35</v>
      </c>
    </row>
    <row r="16" spans="1:1" x14ac:dyDescent="0.25">
      <c r="A16" s="8" t="s">
        <v>36</v>
      </c>
    </row>
    <row r="17" spans="1:1" x14ac:dyDescent="0.25">
      <c r="A17" s="9" t="s">
        <v>37</v>
      </c>
    </row>
    <row r="18" spans="1:1" x14ac:dyDescent="0.25">
      <c r="A18" s="8" t="s">
        <v>38</v>
      </c>
    </row>
    <row r="19" spans="1:1" x14ac:dyDescent="0.25">
      <c r="A19" s="9" t="s">
        <v>39</v>
      </c>
    </row>
    <row r="20" spans="1:1" x14ac:dyDescent="0.25">
      <c r="A20" s="8" t="s">
        <v>40</v>
      </c>
    </row>
    <row r="21" spans="1:1" ht="15.75" thickBot="1" x14ac:dyDescent="0.3">
      <c r="A21" s="12" t="s">
        <v>41</v>
      </c>
    </row>
    <row r="22" spans="1:1" x14ac:dyDescent="0.25">
      <c r="A22" s="8" t="s">
        <v>42</v>
      </c>
    </row>
    <row r="23" spans="1:1" x14ac:dyDescent="0.25">
      <c r="A23" s="8" t="s">
        <v>43</v>
      </c>
    </row>
    <row r="24" spans="1:1" x14ac:dyDescent="0.25">
      <c r="A24" s="9" t="s">
        <v>44</v>
      </c>
    </row>
    <row r="25" spans="1:1" x14ac:dyDescent="0.25">
      <c r="A25" s="8" t="s">
        <v>45</v>
      </c>
    </row>
    <row r="26" spans="1:1" x14ac:dyDescent="0.25">
      <c r="A26" s="8" t="s">
        <v>46</v>
      </c>
    </row>
    <row r="27" spans="1:1" x14ac:dyDescent="0.25">
      <c r="A27" s="8" t="s">
        <v>47</v>
      </c>
    </row>
    <row r="28" spans="1:1" x14ac:dyDescent="0.25">
      <c r="A28" s="9" t="s">
        <v>48</v>
      </c>
    </row>
    <row r="29" spans="1:1" x14ac:dyDescent="0.25">
      <c r="A29" s="8" t="s">
        <v>49</v>
      </c>
    </row>
    <row r="30" spans="1:1" x14ac:dyDescent="0.25">
      <c r="A30" s="8" t="s">
        <v>50</v>
      </c>
    </row>
    <row r="31" spans="1:1" x14ac:dyDescent="0.25">
      <c r="A31" s="8" t="s">
        <v>51</v>
      </c>
    </row>
    <row r="32" spans="1:1" x14ac:dyDescent="0.25">
      <c r="A32" s="8" t="s">
        <v>52</v>
      </c>
    </row>
    <row r="33" spans="1:1" x14ac:dyDescent="0.25">
      <c r="A33" s="9" t="s">
        <v>53</v>
      </c>
    </row>
    <row r="34" spans="1:1" x14ac:dyDescent="0.25">
      <c r="A34" s="9" t="s">
        <v>54</v>
      </c>
    </row>
    <row r="35" spans="1:1" x14ac:dyDescent="0.25">
      <c r="A35" s="9" t="s">
        <v>55</v>
      </c>
    </row>
    <row r="36" spans="1:1" x14ac:dyDescent="0.25">
      <c r="A36" s="8" t="s">
        <v>56</v>
      </c>
    </row>
    <row r="37" spans="1:1" x14ac:dyDescent="0.25">
      <c r="A37" s="9" t="s">
        <v>57</v>
      </c>
    </row>
    <row r="38" spans="1:1" x14ac:dyDescent="0.25">
      <c r="A38" s="8" t="s">
        <v>58</v>
      </c>
    </row>
    <row r="39" spans="1:1" x14ac:dyDescent="0.25">
      <c r="A39" s="8" t="s">
        <v>59</v>
      </c>
    </row>
    <row r="40" spans="1:1" x14ac:dyDescent="0.25">
      <c r="A40" s="8" t="s">
        <v>60</v>
      </c>
    </row>
    <row r="41" spans="1:1" x14ac:dyDescent="0.25">
      <c r="A41" s="9" t="s">
        <v>61</v>
      </c>
    </row>
    <row r="42" spans="1:1" x14ac:dyDescent="0.25">
      <c r="A42" s="8" t="s">
        <v>62</v>
      </c>
    </row>
    <row r="43" spans="1:1" x14ac:dyDescent="0.25">
      <c r="A43" s="8" t="s">
        <v>63</v>
      </c>
    </row>
    <row r="44" spans="1:1" x14ac:dyDescent="0.25">
      <c r="A44" s="8" t="s">
        <v>64</v>
      </c>
    </row>
    <row r="45" spans="1:1" x14ac:dyDescent="0.25">
      <c r="A45" s="9" t="s">
        <v>65</v>
      </c>
    </row>
    <row r="46" spans="1:1" x14ac:dyDescent="0.25">
      <c r="A46" s="23" t="s">
        <v>66</v>
      </c>
    </row>
    <row r="47" spans="1:1" x14ac:dyDescent="0.25">
      <c r="A47" s="8" t="s">
        <v>67</v>
      </c>
    </row>
    <row r="48" spans="1:1" x14ac:dyDescent="0.25">
      <c r="A48" s="8" t="s">
        <v>68</v>
      </c>
    </row>
    <row r="49" spans="1:1" x14ac:dyDescent="0.25">
      <c r="A49" s="9" t="s">
        <v>69</v>
      </c>
    </row>
    <row r="50" spans="1:1" x14ac:dyDescent="0.25">
      <c r="A50" s="8" t="s">
        <v>70</v>
      </c>
    </row>
    <row r="51" spans="1:1" x14ac:dyDescent="0.25">
      <c r="A51" s="8" t="s">
        <v>71</v>
      </c>
    </row>
    <row r="52" spans="1:1" x14ac:dyDescent="0.25">
      <c r="A52" s="9" t="s">
        <v>72</v>
      </c>
    </row>
    <row r="53" spans="1:1" x14ac:dyDescent="0.25">
      <c r="A53" s="9" t="s">
        <v>73</v>
      </c>
    </row>
    <row r="54" spans="1:1" x14ac:dyDescent="0.25">
      <c r="A54" s="8" t="s">
        <v>74</v>
      </c>
    </row>
    <row r="55" spans="1:1" x14ac:dyDescent="0.25">
      <c r="A55" s="9" t="s">
        <v>75</v>
      </c>
    </row>
    <row r="56" spans="1:1" x14ac:dyDescent="0.25">
      <c r="A56" s="23" t="s">
        <v>76</v>
      </c>
    </row>
    <row r="57" spans="1:1" x14ac:dyDescent="0.25">
      <c r="A57" s="9" t="s">
        <v>77</v>
      </c>
    </row>
    <row r="58" spans="1:1" x14ac:dyDescent="0.25">
      <c r="A58" s="23" t="s">
        <v>78</v>
      </c>
    </row>
    <row r="59" spans="1:1" x14ac:dyDescent="0.25">
      <c r="A59" s="8" t="s">
        <v>79</v>
      </c>
    </row>
    <row r="60" spans="1:1" x14ac:dyDescent="0.25">
      <c r="A60" s="9" t="s">
        <v>80</v>
      </c>
    </row>
    <row r="61" spans="1:1" x14ac:dyDescent="0.25">
      <c r="A61" s="23" t="s">
        <v>81</v>
      </c>
    </row>
    <row r="62" spans="1:1" x14ac:dyDescent="0.25">
      <c r="A62" s="9" t="s">
        <v>82</v>
      </c>
    </row>
    <row r="63" spans="1:1" x14ac:dyDescent="0.25">
      <c r="A63" s="9" t="s">
        <v>83</v>
      </c>
    </row>
    <row r="64" spans="1:1" x14ac:dyDescent="0.25">
      <c r="A64" s="8" t="s">
        <v>84</v>
      </c>
    </row>
    <row r="65" spans="1:1" x14ac:dyDescent="0.25">
      <c r="A65" s="9" t="s">
        <v>85</v>
      </c>
    </row>
    <row r="66" spans="1:1" x14ac:dyDescent="0.25">
      <c r="A66" s="9" t="s">
        <v>86</v>
      </c>
    </row>
    <row r="67" spans="1:1" x14ac:dyDescent="0.25">
      <c r="A67" s="9" t="s">
        <v>87</v>
      </c>
    </row>
    <row r="68" spans="1:1" x14ac:dyDescent="0.25">
      <c r="A68" s="8" t="s">
        <v>88</v>
      </c>
    </row>
    <row r="69" spans="1:1" x14ac:dyDescent="0.25">
      <c r="A69" s="8" t="s">
        <v>89</v>
      </c>
    </row>
    <row r="70" spans="1:1" x14ac:dyDescent="0.25">
      <c r="A70" s="9" t="s">
        <v>90</v>
      </c>
    </row>
    <row r="71" spans="1:1" x14ac:dyDescent="0.25">
      <c r="A71" s="23" t="s">
        <v>91</v>
      </c>
    </row>
    <row r="72" spans="1:1" x14ac:dyDescent="0.25">
      <c r="A72" s="9" t="s">
        <v>92</v>
      </c>
    </row>
    <row r="73" spans="1:1" x14ac:dyDescent="0.25">
      <c r="A73" s="23" t="s">
        <v>93</v>
      </c>
    </row>
    <row r="74" spans="1:1" x14ac:dyDescent="0.25">
      <c r="A74" s="23" t="s">
        <v>94</v>
      </c>
    </row>
    <row r="75" spans="1:1" x14ac:dyDescent="0.25">
      <c r="A75" s="8" t="s">
        <v>95</v>
      </c>
    </row>
    <row r="76" spans="1:1" x14ac:dyDescent="0.25">
      <c r="A76" s="9" t="s">
        <v>96</v>
      </c>
    </row>
    <row r="77" spans="1:1" x14ac:dyDescent="0.25">
      <c r="A77" s="23" t="s">
        <v>97</v>
      </c>
    </row>
    <row r="78" spans="1:1" x14ac:dyDescent="0.25">
      <c r="A78" s="8" t="s">
        <v>98</v>
      </c>
    </row>
    <row r="79" spans="1:1" x14ac:dyDescent="0.25">
      <c r="A79" s="9" t="s">
        <v>99</v>
      </c>
    </row>
    <row r="80" spans="1:1" x14ac:dyDescent="0.25">
      <c r="A80" s="9" t="s">
        <v>100</v>
      </c>
    </row>
    <row r="81" spans="1:1" x14ac:dyDescent="0.25">
      <c r="A81" s="9" t="s">
        <v>101</v>
      </c>
    </row>
    <row r="82" spans="1:1" x14ac:dyDescent="0.25">
      <c r="A82" s="9" t="s">
        <v>102</v>
      </c>
    </row>
    <row r="83" spans="1:1" x14ac:dyDescent="0.25">
      <c r="A83" s="8" t="s">
        <v>103</v>
      </c>
    </row>
    <row r="84" spans="1:1" x14ac:dyDescent="0.25">
      <c r="A84" s="9" t="s">
        <v>104</v>
      </c>
    </row>
    <row r="85" spans="1:1" x14ac:dyDescent="0.25">
      <c r="A85" s="8" t="s">
        <v>105</v>
      </c>
    </row>
    <row r="86" spans="1:1" x14ac:dyDescent="0.25">
      <c r="A86" s="9" t="s">
        <v>106</v>
      </c>
    </row>
    <row r="87" spans="1:1" x14ac:dyDescent="0.25">
      <c r="A87" s="9" t="s">
        <v>21</v>
      </c>
    </row>
    <row r="88" spans="1:1" x14ac:dyDescent="0.25">
      <c r="A88" s="11" t="s">
        <v>107</v>
      </c>
    </row>
    <row r="89" spans="1:1" x14ac:dyDescent="0.25">
      <c r="A89" s="9" t="s">
        <v>108</v>
      </c>
    </row>
    <row r="90" spans="1:1" x14ac:dyDescent="0.25">
      <c r="A90" s="8" t="s">
        <v>109</v>
      </c>
    </row>
    <row r="91" spans="1:1" x14ac:dyDescent="0.25">
      <c r="A91" s="23" t="s">
        <v>110</v>
      </c>
    </row>
    <row r="92" spans="1:1" ht="15.75" thickBot="1" x14ac:dyDescent="0.3">
      <c r="A92" s="12" t="s">
        <v>111</v>
      </c>
    </row>
    <row r="93" spans="1:1" x14ac:dyDescent="0.25">
      <c r="A93" s="8" t="s">
        <v>112</v>
      </c>
    </row>
    <row r="94" spans="1:1" x14ac:dyDescent="0.25">
      <c r="A94" s="23" t="s">
        <v>113</v>
      </c>
    </row>
    <row r="95" spans="1:1" x14ac:dyDescent="0.25">
      <c r="A95" s="9" t="s">
        <v>114</v>
      </c>
    </row>
    <row r="96" spans="1:1" x14ac:dyDescent="0.25">
      <c r="A96" s="9" t="s">
        <v>115</v>
      </c>
    </row>
    <row r="97" spans="1:1" x14ac:dyDescent="0.25">
      <c r="A97" s="9" t="s">
        <v>116</v>
      </c>
    </row>
    <row r="98" spans="1:1" x14ac:dyDescent="0.25">
      <c r="A98" s="9" t="s">
        <v>117</v>
      </c>
    </row>
    <row r="99" spans="1:1" x14ac:dyDescent="0.25">
      <c r="A99" s="8" t="s">
        <v>118</v>
      </c>
    </row>
    <row r="100" spans="1:1" x14ac:dyDescent="0.25">
      <c r="A100" s="8" t="s">
        <v>119</v>
      </c>
    </row>
    <row r="101" spans="1:1" x14ac:dyDescent="0.25">
      <c r="A101" s="8" t="s">
        <v>120</v>
      </c>
    </row>
    <row r="102" spans="1:1" x14ac:dyDescent="0.25">
      <c r="A102" s="9" t="s">
        <v>121</v>
      </c>
    </row>
    <row r="103" spans="1:1" x14ac:dyDescent="0.25">
      <c r="A103" s="9" t="s">
        <v>122</v>
      </c>
    </row>
    <row r="104" spans="1:1" x14ac:dyDescent="0.25">
      <c r="A104" s="23" t="s">
        <v>123</v>
      </c>
    </row>
    <row r="105" spans="1:1" x14ac:dyDescent="0.25">
      <c r="A105" s="8" t="s">
        <v>124</v>
      </c>
    </row>
    <row r="106" spans="1:1" x14ac:dyDescent="0.25">
      <c r="A106" s="8" t="s">
        <v>125</v>
      </c>
    </row>
    <row r="107" spans="1:1" x14ac:dyDescent="0.25">
      <c r="A107" s="9" t="s">
        <v>126</v>
      </c>
    </row>
    <row r="108" spans="1:1" x14ac:dyDescent="0.25">
      <c r="A108" s="9" t="s">
        <v>127</v>
      </c>
    </row>
    <row r="109" spans="1:1" x14ac:dyDescent="0.25">
      <c r="A109" s="23" t="s">
        <v>128</v>
      </c>
    </row>
    <row r="110" spans="1:1" x14ac:dyDescent="0.25">
      <c r="A110" s="8" t="s">
        <v>129</v>
      </c>
    </row>
    <row r="111" spans="1:1" x14ac:dyDescent="0.25">
      <c r="A111" s="9" t="s">
        <v>130</v>
      </c>
    </row>
    <row r="112" spans="1:1" x14ac:dyDescent="0.25">
      <c r="A112" s="8" t="s">
        <v>131</v>
      </c>
    </row>
    <row r="113" spans="1:1" x14ac:dyDescent="0.25">
      <c r="A113" s="9" t="s">
        <v>132</v>
      </c>
    </row>
    <row r="114" spans="1:1" x14ac:dyDescent="0.25">
      <c r="A114" s="8" t="s">
        <v>133</v>
      </c>
    </row>
    <row r="115" spans="1:1" x14ac:dyDescent="0.25">
      <c r="A115" s="23" t="s">
        <v>134</v>
      </c>
    </row>
    <row r="116" spans="1:1" ht="15.75" thickBot="1" x14ac:dyDescent="0.3">
      <c r="A116" s="10" t="s">
        <v>135</v>
      </c>
    </row>
    <row r="117" spans="1:1" x14ac:dyDescent="0.25">
      <c r="A117" s="49" t="s">
        <v>136</v>
      </c>
    </row>
    <row r="118" spans="1:1" x14ac:dyDescent="0.25">
      <c r="A118" s="9" t="s">
        <v>137</v>
      </c>
    </row>
    <row r="119" spans="1:1" ht="15.75" thickBot="1" x14ac:dyDescent="0.3">
      <c r="A119" s="12" t="s">
        <v>138</v>
      </c>
    </row>
    <row r="120" spans="1:1" x14ac:dyDescent="0.25">
      <c r="A120" s="8" t="s">
        <v>139</v>
      </c>
    </row>
    <row r="121" spans="1:1" x14ac:dyDescent="0.25">
      <c r="A121" s="8" t="s">
        <v>140</v>
      </c>
    </row>
    <row r="122" spans="1:1" x14ac:dyDescent="0.25">
      <c r="A122" s="8" t="s">
        <v>141</v>
      </c>
    </row>
    <row r="123" spans="1:1" x14ac:dyDescent="0.25">
      <c r="A123" s="9" t="s">
        <v>142</v>
      </c>
    </row>
    <row r="124" spans="1:1" ht="15.75" thickBot="1" x14ac:dyDescent="0.3">
      <c r="A124" s="10" t="s">
        <v>143</v>
      </c>
    </row>
    <row r="125" spans="1:1" x14ac:dyDescent="0.25">
      <c r="A125" s="8" t="s">
        <v>144</v>
      </c>
    </row>
    <row r="126" spans="1:1" x14ac:dyDescent="0.25">
      <c r="A126" s="24" t="s">
        <v>145</v>
      </c>
    </row>
    <row r="127" spans="1:1" x14ac:dyDescent="0.25">
      <c r="A127" s="9" t="s">
        <v>146</v>
      </c>
    </row>
    <row r="128" spans="1:1" x14ac:dyDescent="0.25">
      <c r="A128" s="13" t="s">
        <v>147</v>
      </c>
    </row>
    <row r="129" spans="1:1" x14ac:dyDescent="0.25">
      <c r="A129" s="9" t="s">
        <v>148</v>
      </c>
    </row>
    <row r="130" spans="1:1" x14ac:dyDescent="0.25">
      <c r="A130" s="8" t="s">
        <v>149</v>
      </c>
    </row>
    <row r="131" spans="1:1" x14ac:dyDescent="0.25">
      <c r="A131" s="8" t="s">
        <v>150</v>
      </c>
    </row>
    <row r="132" spans="1:1" x14ac:dyDescent="0.25">
      <c r="A132" s="9" t="s">
        <v>320</v>
      </c>
    </row>
    <row r="133" spans="1:1" x14ac:dyDescent="0.25">
      <c r="A133" s="23" t="s">
        <v>151</v>
      </c>
    </row>
    <row r="134" spans="1:1" x14ac:dyDescent="0.25">
      <c r="A134" s="23" t="s">
        <v>152</v>
      </c>
    </row>
    <row r="135" spans="1:1" x14ac:dyDescent="0.25">
      <c r="A135" s="9" t="s">
        <v>153</v>
      </c>
    </row>
    <row r="136" spans="1:1" x14ac:dyDescent="0.25">
      <c r="A136" s="9" t="s">
        <v>154</v>
      </c>
    </row>
    <row r="137" spans="1:1" x14ac:dyDescent="0.25">
      <c r="A137" s="23" t="s">
        <v>155</v>
      </c>
    </row>
    <row r="138" spans="1:1" x14ac:dyDescent="0.25">
      <c r="A138" s="9" t="s">
        <v>156</v>
      </c>
    </row>
    <row r="139" spans="1:1" ht="15.75" thickBot="1" x14ac:dyDescent="0.3">
      <c r="A139" s="8" t="s">
        <v>157</v>
      </c>
    </row>
    <row r="140" spans="1:1" x14ac:dyDescent="0.25">
      <c r="A140" s="49" t="s">
        <v>158</v>
      </c>
    </row>
    <row r="141" spans="1:1" x14ac:dyDescent="0.25">
      <c r="A141" s="8" t="s">
        <v>159</v>
      </c>
    </row>
    <row r="142" spans="1:1" x14ac:dyDescent="0.25">
      <c r="A142" s="8" t="s">
        <v>160</v>
      </c>
    </row>
    <row r="143" spans="1:1" x14ac:dyDescent="0.25">
      <c r="A143" s="9" t="s">
        <v>161</v>
      </c>
    </row>
    <row r="144" spans="1:1" x14ac:dyDescent="0.25">
      <c r="A144" s="8" t="s">
        <v>162</v>
      </c>
    </row>
    <row r="145" spans="1:1" x14ac:dyDescent="0.25">
      <c r="A145" s="9" t="s">
        <v>163</v>
      </c>
    </row>
    <row r="146" spans="1:1" x14ac:dyDescent="0.25">
      <c r="A146" s="8" t="s">
        <v>164</v>
      </c>
    </row>
    <row r="147" spans="1:1" x14ac:dyDescent="0.25">
      <c r="A147" s="8" t="s">
        <v>165</v>
      </c>
    </row>
    <row r="148" spans="1:1" x14ac:dyDescent="0.25">
      <c r="A148" s="13" t="s">
        <v>166</v>
      </c>
    </row>
    <row r="149" spans="1:1" x14ac:dyDescent="0.25">
      <c r="A149" s="9" t="s">
        <v>167</v>
      </c>
    </row>
    <row r="150" spans="1:1" x14ac:dyDescent="0.25">
      <c r="A150" s="9" t="s">
        <v>168</v>
      </c>
    </row>
    <row r="151" spans="1:1" x14ac:dyDescent="0.25">
      <c r="A151" s="9" t="s">
        <v>169</v>
      </c>
    </row>
    <row r="152" spans="1:1" x14ac:dyDescent="0.25">
      <c r="A152" s="8" t="s">
        <v>170</v>
      </c>
    </row>
    <row r="153" spans="1:1" x14ac:dyDescent="0.25">
      <c r="A153" s="9" t="s">
        <v>171</v>
      </c>
    </row>
    <row r="154" spans="1:1" x14ac:dyDescent="0.25">
      <c r="A154" s="9" t="s">
        <v>172</v>
      </c>
    </row>
    <row r="155" spans="1:1" x14ac:dyDescent="0.25">
      <c r="A155" s="24" t="s">
        <v>173</v>
      </c>
    </row>
    <row r="156" spans="1:1" x14ac:dyDescent="0.25">
      <c r="A156" s="8" t="s">
        <v>174</v>
      </c>
    </row>
    <row r="157" spans="1:1" x14ac:dyDescent="0.25">
      <c r="A157" s="24" t="s">
        <v>175</v>
      </c>
    </row>
    <row r="158" spans="1:1" x14ac:dyDescent="0.25">
      <c r="A158" s="8" t="s">
        <v>176</v>
      </c>
    </row>
    <row r="159" spans="1:1" x14ac:dyDescent="0.25">
      <c r="A159" s="8" t="s">
        <v>177</v>
      </c>
    </row>
    <row r="160" spans="1:1" x14ac:dyDescent="0.25">
      <c r="A160" s="8" t="s">
        <v>178</v>
      </c>
    </row>
    <row r="161" spans="1:1" x14ac:dyDescent="0.25">
      <c r="A161" s="9" t="s">
        <v>179</v>
      </c>
    </row>
    <row r="162" spans="1:1" x14ac:dyDescent="0.25">
      <c r="A162" s="24" t="s">
        <v>180</v>
      </c>
    </row>
    <row r="163" spans="1:1" x14ac:dyDescent="0.25">
      <c r="A163" s="8" t="s">
        <v>181</v>
      </c>
    </row>
    <row r="164" spans="1:1" x14ac:dyDescent="0.25">
      <c r="A164" s="8" t="s">
        <v>4</v>
      </c>
    </row>
    <row r="165" spans="1:1" x14ac:dyDescent="0.25">
      <c r="A165" s="8" t="s">
        <v>182</v>
      </c>
    </row>
    <row r="166" spans="1:1" x14ac:dyDescent="0.25">
      <c r="A166" s="9" t="s">
        <v>183</v>
      </c>
    </row>
    <row r="167" spans="1:1" x14ac:dyDescent="0.25">
      <c r="A167" s="9" t="s">
        <v>184</v>
      </c>
    </row>
    <row r="168" spans="1:1" x14ac:dyDescent="0.25">
      <c r="A168" s="9" t="s">
        <v>185</v>
      </c>
    </row>
    <row r="169" spans="1:1" x14ac:dyDescent="0.25">
      <c r="A169" s="9" t="s">
        <v>186</v>
      </c>
    </row>
    <row r="170" spans="1:1" x14ac:dyDescent="0.25">
      <c r="A170" s="23" t="s">
        <v>187</v>
      </c>
    </row>
    <row r="171" spans="1:1" x14ac:dyDescent="0.25">
      <c r="A171" s="9" t="s">
        <v>188</v>
      </c>
    </row>
    <row r="172" spans="1:1" x14ac:dyDescent="0.25">
      <c r="A172" s="9" t="s">
        <v>189</v>
      </c>
    </row>
    <row r="173" spans="1:1" x14ac:dyDescent="0.25">
      <c r="A173" s="9" t="s">
        <v>190</v>
      </c>
    </row>
    <row r="174" spans="1:1" x14ac:dyDescent="0.25">
      <c r="A174" s="9" t="s">
        <v>191</v>
      </c>
    </row>
    <row r="175" spans="1:1" x14ac:dyDescent="0.25">
      <c r="A175" s="9" t="s">
        <v>192</v>
      </c>
    </row>
    <row r="176" spans="1:1" x14ac:dyDescent="0.25">
      <c r="A176" s="23" t="s">
        <v>193</v>
      </c>
    </row>
    <row r="177" spans="1:1" x14ac:dyDescent="0.25">
      <c r="A177" s="23" t="s">
        <v>194</v>
      </c>
    </row>
    <row r="178" spans="1:1" x14ac:dyDescent="0.25">
      <c r="A178" s="23" t="s">
        <v>195</v>
      </c>
    </row>
    <row r="179" spans="1:1" x14ac:dyDescent="0.25">
      <c r="A179" s="9" t="s">
        <v>196</v>
      </c>
    </row>
    <row r="180" spans="1:1" x14ac:dyDescent="0.25">
      <c r="A180" s="23" t="s">
        <v>197</v>
      </c>
    </row>
    <row r="181" spans="1:1" x14ac:dyDescent="0.25">
      <c r="A181" s="8" t="s">
        <v>198</v>
      </c>
    </row>
    <row r="182" spans="1:1" x14ac:dyDescent="0.25">
      <c r="A182" s="23" t="s">
        <v>199</v>
      </c>
    </row>
    <row r="183" spans="1:1" x14ac:dyDescent="0.25">
      <c r="A183" s="9" t="s">
        <v>200</v>
      </c>
    </row>
    <row r="184" spans="1:1" x14ac:dyDescent="0.25">
      <c r="A184" s="8" t="s">
        <v>201</v>
      </c>
    </row>
    <row r="185" spans="1:1" x14ac:dyDescent="0.25">
      <c r="A185" s="9" t="s">
        <v>202</v>
      </c>
    </row>
    <row r="186" spans="1:1" x14ac:dyDescent="0.25">
      <c r="A186" s="24" t="s">
        <v>203</v>
      </c>
    </row>
    <row r="187" spans="1:1" x14ac:dyDescent="0.25">
      <c r="A187" s="8" t="s">
        <v>204</v>
      </c>
    </row>
    <row r="188" spans="1:1" x14ac:dyDescent="0.25">
      <c r="A188" s="9" t="s">
        <v>205</v>
      </c>
    </row>
    <row r="189" spans="1:1" x14ac:dyDescent="0.25">
      <c r="A189" s="23" t="s">
        <v>206</v>
      </c>
    </row>
    <row r="190" spans="1:1" x14ac:dyDescent="0.25">
      <c r="A190" s="9" t="s">
        <v>207</v>
      </c>
    </row>
    <row r="191" spans="1:1" x14ac:dyDescent="0.25">
      <c r="A191" s="9" t="s">
        <v>208</v>
      </c>
    </row>
    <row r="192" spans="1:1" x14ac:dyDescent="0.25">
      <c r="A192" s="23" t="s">
        <v>209</v>
      </c>
    </row>
    <row r="193" spans="1:1" x14ac:dyDescent="0.25">
      <c r="A193" s="23" t="s">
        <v>210</v>
      </c>
    </row>
    <row r="194" spans="1:1" x14ac:dyDescent="0.25">
      <c r="A194" s="9" t="s">
        <v>211</v>
      </c>
    </row>
    <row r="195" spans="1:1" x14ac:dyDescent="0.25">
      <c r="A195" s="23" t="s">
        <v>212</v>
      </c>
    </row>
    <row r="196" spans="1:1" x14ac:dyDescent="0.25">
      <c r="A196" s="9" t="s">
        <v>213</v>
      </c>
    </row>
    <row r="197" spans="1:1" x14ac:dyDescent="0.25">
      <c r="A197" s="23" t="s">
        <v>214</v>
      </c>
    </row>
    <row r="198" spans="1:1" x14ac:dyDescent="0.25">
      <c r="A198" s="9" t="s">
        <v>215</v>
      </c>
    </row>
    <row r="199" spans="1:1" x14ac:dyDescent="0.25">
      <c r="A199" s="23" t="s">
        <v>216</v>
      </c>
    </row>
    <row r="200" spans="1:1" ht="15.75" thickBot="1" x14ac:dyDescent="0.3">
      <c r="A200" s="12" t="s">
        <v>217</v>
      </c>
    </row>
    <row r="201" spans="1:1" ht="15.75" thickBot="1" x14ac:dyDescent="0.3">
      <c r="A201" s="12" t="s">
        <v>218</v>
      </c>
    </row>
    <row r="202" spans="1:1" ht="15.75" thickBot="1" x14ac:dyDescent="0.3">
      <c r="A202" s="48" t="s">
        <v>219</v>
      </c>
    </row>
    <row r="203" spans="1:1" x14ac:dyDescent="0.25">
      <c r="A203" s="271" t="s">
        <v>220</v>
      </c>
    </row>
    <row r="204" spans="1:1" x14ac:dyDescent="0.25">
      <c r="A204" s="203" t="s">
        <v>221</v>
      </c>
    </row>
  </sheetData>
  <autoFilter ref="A1:A202" xr:uid="{28C53FF4-0E3C-496B-91EA-DE799A3B7679}">
    <sortState xmlns:xlrd2="http://schemas.microsoft.com/office/spreadsheetml/2017/richdata2" ref="A2:A204">
      <sortCondition ref="A1:A202"/>
    </sortState>
  </autoFilter>
  <pageMargins left="0.51180555555555596" right="0.51180555555555596" top="0.78680555555555598" bottom="0.78680555555555598" header="0.31388888888888899" footer="0.31388888888888899"/>
  <pageSetup paperSize="9" orientation="portrait" horizontalDpi="0" verticalDpi="30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C10"/>
  <sheetViews>
    <sheetView zoomScaleSheetLayoutView="100" workbookViewId="0">
      <selection activeCell="H11" sqref="H11"/>
    </sheetView>
  </sheetViews>
  <sheetFormatPr defaultColWidth="9" defaultRowHeight="15" x14ac:dyDescent="0.25"/>
  <cols>
    <col min="1" max="1" width="28.5703125" customWidth="1"/>
  </cols>
  <sheetData>
    <row r="3" spans="1:3" ht="15.75" x14ac:dyDescent="0.25">
      <c r="A3" s="4" t="s">
        <v>222</v>
      </c>
      <c r="C3" s="4" t="s">
        <v>308</v>
      </c>
    </row>
    <row r="4" spans="1:3" ht="15.75" x14ac:dyDescent="0.25">
      <c r="A4" s="5"/>
    </row>
    <row r="5" spans="1:3" ht="15.75" x14ac:dyDescent="0.25">
      <c r="A5" s="4" t="s">
        <v>223</v>
      </c>
      <c r="C5" s="45" t="s">
        <v>11</v>
      </c>
    </row>
    <row r="6" spans="1:3" ht="15.75" x14ac:dyDescent="0.25">
      <c r="A6" s="4" t="s">
        <v>224</v>
      </c>
      <c r="C6" s="45" t="s">
        <v>8</v>
      </c>
    </row>
    <row r="7" spans="1:3" ht="15.75" x14ac:dyDescent="0.25">
      <c r="A7" s="4" t="s">
        <v>225</v>
      </c>
    </row>
    <row r="8" spans="1:3" ht="15.75" x14ac:dyDescent="0.25">
      <c r="A8" s="4" t="s">
        <v>6</v>
      </c>
    </row>
    <row r="9" spans="1:3" ht="15.75" x14ac:dyDescent="0.25">
      <c r="A9" s="4" t="s">
        <v>226</v>
      </c>
    </row>
    <row r="10" spans="1:3" ht="15.75" x14ac:dyDescent="0.25">
      <c r="A10" s="4" t="s">
        <v>227</v>
      </c>
    </row>
  </sheetData>
  <pageMargins left="0.51180555555555596" right="0.51180555555555596" top="0.78680555555555598" bottom="0.78680555555555598" header="0.31388888888888899" footer="0.31388888888888899"/>
  <pageSetup paperSize="9"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H105"/>
  <sheetViews>
    <sheetView zoomScaleSheetLayoutView="100" workbookViewId="0">
      <selection activeCell="A5" sqref="A5"/>
    </sheetView>
  </sheetViews>
  <sheetFormatPr defaultColWidth="9" defaultRowHeight="15" x14ac:dyDescent="0.25"/>
  <cols>
    <col min="1" max="1" width="85.140625" customWidth="1"/>
  </cols>
  <sheetData>
    <row r="2" spans="1:8" ht="15.75" x14ac:dyDescent="0.25">
      <c r="A2" s="3" t="s">
        <v>228</v>
      </c>
    </row>
    <row r="3" spans="1:8" ht="15.75" x14ac:dyDescent="0.25">
      <c r="A3" s="29" t="s">
        <v>229</v>
      </c>
    </row>
    <row r="4" spans="1:8" ht="15.75" x14ac:dyDescent="0.25">
      <c r="A4" s="29" t="s">
        <v>1020</v>
      </c>
    </row>
    <row r="5" spans="1:8" ht="15.75" x14ac:dyDescent="0.25">
      <c r="A5" s="29" t="s">
        <v>230</v>
      </c>
    </row>
    <row r="6" spans="1:8" ht="15.75" x14ac:dyDescent="0.25">
      <c r="A6" s="29" t="s">
        <v>300</v>
      </c>
    </row>
    <row r="7" spans="1:8" ht="15.75" x14ac:dyDescent="0.25">
      <c r="A7" s="29" t="s">
        <v>265</v>
      </c>
    </row>
    <row r="8" spans="1:8" ht="15.75" x14ac:dyDescent="0.25">
      <c r="A8" s="29" t="s">
        <v>231</v>
      </c>
    </row>
    <row r="9" spans="1:8" ht="15.75" x14ac:dyDescent="0.25">
      <c r="A9" s="29" t="s">
        <v>232</v>
      </c>
    </row>
    <row r="10" spans="1:8" ht="15.75" x14ac:dyDescent="0.25">
      <c r="A10" s="30" t="s">
        <v>1028</v>
      </c>
    </row>
    <row r="11" spans="1:8" ht="15.75" x14ac:dyDescent="0.25">
      <c r="A11" s="30" t="s">
        <v>266</v>
      </c>
    </row>
    <row r="12" spans="1:8" ht="15.75" x14ac:dyDescent="0.25">
      <c r="A12" s="29" t="s">
        <v>267</v>
      </c>
      <c r="H12" s="27"/>
    </row>
    <row r="13" spans="1:8" ht="15.75" x14ac:dyDescent="0.25">
      <c r="A13" s="30" t="s">
        <v>268</v>
      </c>
    </row>
    <row r="14" spans="1:8" ht="15.75" x14ac:dyDescent="0.25">
      <c r="A14" s="31" t="s">
        <v>233</v>
      </c>
    </row>
    <row r="15" spans="1:8" ht="15.75" x14ac:dyDescent="0.25">
      <c r="A15" s="29" t="s">
        <v>269</v>
      </c>
    </row>
    <row r="16" spans="1:8" ht="15.75" x14ac:dyDescent="0.25">
      <c r="A16" s="29" t="s">
        <v>234</v>
      </c>
    </row>
    <row r="17" spans="1:1" ht="15.75" x14ac:dyDescent="0.25">
      <c r="A17" s="29" t="s">
        <v>264</v>
      </c>
    </row>
    <row r="18" spans="1:1" ht="15.75" x14ac:dyDescent="0.25">
      <c r="A18" s="32" t="s">
        <v>270</v>
      </c>
    </row>
    <row r="19" spans="1:1" ht="15.75" x14ac:dyDescent="0.25">
      <c r="A19" s="30" t="s">
        <v>1008</v>
      </c>
    </row>
    <row r="20" spans="1:1" ht="15.75" x14ac:dyDescent="0.25">
      <c r="A20" s="29" t="s">
        <v>235</v>
      </c>
    </row>
    <row r="21" spans="1:1" ht="15.75" x14ac:dyDescent="0.25">
      <c r="A21" s="29" t="s">
        <v>271</v>
      </c>
    </row>
    <row r="22" spans="1:1" ht="15.75" x14ac:dyDescent="0.25">
      <c r="A22" s="29" t="s">
        <v>272</v>
      </c>
    </row>
    <row r="23" spans="1:1" ht="15.75" x14ac:dyDescent="0.25">
      <c r="A23" s="29" t="s">
        <v>273</v>
      </c>
    </row>
    <row r="24" spans="1:1" ht="15.75" x14ac:dyDescent="0.25">
      <c r="A24" s="29" t="s">
        <v>236</v>
      </c>
    </row>
    <row r="25" spans="1:1" ht="15.75" x14ac:dyDescent="0.25">
      <c r="A25" s="30" t="s">
        <v>1024</v>
      </c>
    </row>
    <row r="26" spans="1:1" ht="15.75" x14ac:dyDescent="0.25">
      <c r="A26" s="29" t="s">
        <v>306</v>
      </c>
    </row>
    <row r="27" spans="1:1" ht="15.75" x14ac:dyDescent="0.25">
      <c r="A27" s="30" t="s">
        <v>305</v>
      </c>
    </row>
    <row r="28" spans="1:1" ht="15.75" x14ac:dyDescent="0.25">
      <c r="A28" s="29" t="s">
        <v>237</v>
      </c>
    </row>
    <row r="29" spans="1:1" ht="15.75" x14ac:dyDescent="0.25">
      <c r="A29" s="29" t="s">
        <v>303</v>
      </c>
    </row>
    <row r="30" spans="1:1" ht="15.75" x14ac:dyDescent="0.25">
      <c r="A30" s="37" t="s">
        <v>304</v>
      </c>
    </row>
    <row r="31" spans="1:1" ht="15.75" x14ac:dyDescent="0.25">
      <c r="A31" s="29" t="s">
        <v>301</v>
      </c>
    </row>
    <row r="32" spans="1:1" ht="15.75" x14ac:dyDescent="0.25">
      <c r="A32" s="30" t="s">
        <v>1017</v>
      </c>
    </row>
    <row r="33" spans="1:1" ht="15.75" x14ac:dyDescent="0.25">
      <c r="A33" s="29" t="s">
        <v>400</v>
      </c>
    </row>
    <row r="34" spans="1:1" ht="15.75" x14ac:dyDescent="0.25">
      <c r="A34" s="30" t="s">
        <v>1015</v>
      </c>
    </row>
    <row r="35" spans="1:1" ht="15.75" x14ac:dyDescent="0.25">
      <c r="A35" s="30" t="s">
        <v>1033</v>
      </c>
    </row>
    <row r="36" spans="1:1" ht="15.75" x14ac:dyDescent="0.25">
      <c r="A36" s="29" t="s">
        <v>274</v>
      </c>
    </row>
    <row r="37" spans="1:1" ht="15.75" x14ac:dyDescent="0.25">
      <c r="A37" s="30" t="s">
        <v>1013</v>
      </c>
    </row>
    <row r="38" spans="1:1" ht="15.75" x14ac:dyDescent="0.25">
      <c r="A38" s="29" t="s">
        <v>238</v>
      </c>
    </row>
    <row r="39" spans="1:1" ht="15.75" x14ac:dyDescent="0.25">
      <c r="A39" s="30" t="s">
        <v>1047</v>
      </c>
    </row>
    <row r="40" spans="1:1" ht="15.75" x14ac:dyDescent="0.25">
      <c r="A40" s="29" t="s">
        <v>275</v>
      </c>
    </row>
    <row r="41" spans="1:1" ht="15.75" x14ac:dyDescent="0.25">
      <c r="A41" s="29" t="s">
        <v>239</v>
      </c>
    </row>
    <row r="42" spans="1:1" ht="15.75" x14ac:dyDescent="0.25">
      <c r="A42" s="29" t="s">
        <v>276</v>
      </c>
    </row>
    <row r="43" spans="1:1" ht="15.75" x14ac:dyDescent="0.25">
      <c r="A43" s="29" t="s">
        <v>402</v>
      </c>
    </row>
    <row r="44" spans="1:1" ht="15.75" x14ac:dyDescent="0.25">
      <c r="A44" s="29" t="s">
        <v>240</v>
      </c>
    </row>
    <row r="45" spans="1:1" ht="15.75" x14ac:dyDescent="0.25">
      <c r="A45" s="29" t="s">
        <v>277</v>
      </c>
    </row>
    <row r="46" spans="1:1" ht="15.75" x14ac:dyDescent="0.25">
      <c r="A46" s="30" t="s">
        <v>1026</v>
      </c>
    </row>
    <row r="47" spans="1:1" ht="15.75" x14ac:dyDescent="0.25">
      <c r="A47" s="30" t="s">
        <v>319</v>
      </c>
    </row>
    <row r="48" spans="1:1" ht="15.75" x14ac:dyDescent="0.25">
      <c r="A48" s="32" t="s">
        <v>278</v>
      </c>
    </row>
    <row r="49" spans="1:1" ht="15.75" x14ac:dyDescent="0.25">
      <c r="A49" s="32" t="s">
        <v>324</v>
      </c>
    </row>
    <row r="50" spans="1:1" ht="15.75" x14ac:dyDescent="0.25">
      <c r="A50" s="29" t="s">
        <v>323</v>
      </c>
    </row>
    <row r="51" spans="1:1" ht="15.75" x14ac:dyDescent="0.25">
      <c r="A51" s="30" t="s">
        <v>321</v>
      </c>
    </row>
    <row r="52" spans="1:1" ht="15.75" x14ac:dyDescent="0.25">
      <c r="A52" s="30" t="s">
        <v>1023</v>
      </c>
    </row>
    <row r="53" spans="1:1" ht="15.75" x14ac:dyDescent="0.25">
      <c r="A53" s="29" t="s">
        <v>241</v>
      </c>
    </row>
    <row r="54" spans="1:1" x14ac:dyDescent="0.25">
      <c r="A54" s="41" t="s">
        <v>398</v>
      </c>
    </row>
    <row r="55" spans="1:1" ht="15.75" x14ac:dyDescent="0.25">
      <c r="A55" s="29" t="s">
        <v>242</v>
      </c>
    </row>
    <row r="56" spans="1:1" ht="15.75" x14ac:dyDescent="0.25">
      <c r="A56" s="29" t="s">
        <v>1022</v>
      </c>
    </row>
    <row r="57" spans="1:1" ht="15.75" x14ac:dyDescent="0.25">
      <c r="A57" s="29" t="s">
        <v>404</v>
      </c>
    </row>
    <row r="58" spans="1:1" ht="15.75" x14ac:dyDescent="0.25">
      <c r="A58" s="277" t="s">
        <v>317</v>
      </c>
    </row>
    <row r="59" spans="1:1" ht="15.75" x14ac:dyDescent="0.25">
      <c r="A59" s="33" t="s">
        <v>279</v>
      </c>
    </row>
    <row r="60" spans="1:1" ht="15.75" x14ac:dyDescent="0.25">
      <c r="A60" s="278" t="s">
        <v>1025</v>
      </c>
    </row>
    <row r="61" spans="1:1" ht="15.75" x14ac:dyDescent="0.25">
      <c r="A61" s="276" t="s">
        <v>403</v>
      </c>
    </row>
    <row r="62" spans="1:1" ht="15.75" x14ac:dyDescent="0.25">
      <c r="A62" s="29" t="s">
        <v>243</v>
      </c>
    </row>
    <row r="63" spans="1:1" ht="15.75" x14ac:dyDescent="0.25">
      <c r="A63" s="33" t="s">
        <v>401</v>
      </c>
    </row>
    <row r="64" spans="1:1" ht="15.75" x14ac:dyDescent="0.25">
      <c r="A64" s="33" t="s">
        <v>244</v>
      </c>
    </row>
    <row r="65" spans="1:1" ht="15.75" x14ac:dyDescent="0.25">
      <c r="A65" s="273" t="s">
        <v>245</v>
      </c>
    </row>
    <row r="66" spans="1:1" x14ac:dyDescent="0.25">
      <c r="A66" s="275" t="s">
        <v>310</v>
      </c>
    </row>
    <row r="67" spans="1:1" ht="15.75" x14ac:dyDescent="0.25">
      <c r="A67" s="30" t="s">
        <v>318</v>
      </c>
    </row>
    <row r="68" spans="1:1" ht="15.75" x14ac:dyDescent="0.25">
      <c r="A68" s="29" t="s">
        <v>246</v>
      </c>
    </row>
    <row r="69" spans="1:1" ht="15.75" x14ac:dyDescent="0.25">
      <c r="A69" s="29" t="s">
        <v>247</v>
      </c>
    </row>
    <row r="70" spans="1:1" ht="15.75" x14ac:dyDescent="0.25">
      <c r="A70" s="32" t="s">
        <v>280</v>
      </c>
    </row>
    <row r="71" spans="1:1" ht="15.75" x14ac:dyDescent="0.25">
      <c r="A71" s="44" t="s">
        <v>248</v>
      </c>
    </row>
    <row r="72" spans="1:1" ht="15.75" x14ac:dyDescent="0.25">
      <c r="A72" s="50" t="s">
        <v>281</v>
      </c>
    </row>
    <row r="73" spans="1:1" ht="15.75" x14ac:dyDescent="0.25">
      <c r="A73" s="50" t="s">
        <v>282</v>
      </c>
    </row>
    <row r="74" spans="1:1" ht="15.75" x14ac:dyDescent="0.25">
      <c r="A74" s="44" t="s">
        <v>283</v>
      </c>
    </row>
    <row r="75" spans="1:1" ht="15.75" x14ac:dyDescent="0.25">
      <c r="A75" s="38" t="s">
        <v>322</v>
      </c>
    </row>
    <row r="76" spans="1:1" ht="15.75" x14ac:dyDescent="0.25">
      <c r="A76" s="274" t="s">
        <v>249</v>
      </c>
    </row>
    <row r="77" spans="1:1" ht="15.75" x14ac:dyDescent="0.25">
      <c r="A77" s="38" t="s">
        <v>1030</v>
      </c>
    </row>
    <row r="78" spans="1:1" ht="15.75" x14ac:dyDescent="0.25">
      <c r="A78" s="44" t="s">
        <v>250</v>
      </c>
    </row>
    <row r="79" spans="1:1" ht="15.75" x14ac:dyDescent="0.25">
      <c r="A79" s="274" t="s">
        <v>251</v>
      </c>
    </row>
    <row r="80" spans="1:1" ht="15.75" x14ac:dyDescent="0.25">
      <c r="A80" s="44" t="s">
        <v>252</v>
      </c>
    </row>
    <row r="81" spans="1:1" ht="15.75" x14ac:dyDescent="0.25">
      <c r="A81" s="44" t="s">
        <v>253</v>
      </c>
    </row>
    <row r="82" spans="1:1" ht="15.75" x14ac:dyDescent="0.25">
      <c r="A82" s="44" t="s">
        <v>1021</v>
      </c>
    </row>
    <row r="83" spans="1:1" ht="15.75" x14ac:dyDescent="0.25">
      <c r="A83" s="38" t="s">
        <v>399</v>
      </c>
    </row>
    <row r="84" spans="1:1" ht="15.75" x14ac:dyDescent="0.25">
      <c r="A84" s="44" t="s">
        <v>284</v>
      </c>
    </row>
    <row r="85" spans="1:1" ht="15.75" x14ac:dyDescent="0.25">
      <c r="A85" s="44" t="s">
        <v>285</v>
      </c>
    </row>
    <row r="86" spans="1:1" ht="15.75" x14ac:dyDescent="0.25">
      <c r="A86" s="50" t="s">
        <v>286</v>
      </c>
    </row>
    <row r="87" spans="1:1" ht="15.75" x14ac:dyDescent="0.25">
      <c r="A87" s="44" t="s">
        <v>254</v>
      </c>
    </row>
    <row r="88" spans="1:1" ht="15.75" x14ac:dyDescent="0.25">
      <c r="A88" s="38" t="s">
        <v>1027</v>
      </c>
    </row>
    <row r="89" spans="1:1" ht="15.75" x14ac:dyDescent="0.25">
      <c r="A89" s="46" t="s">
        <v>255</v>
      </c>
    </row>
    <row r="90" spans="1:1" ht="15.75" x14ac:dyDescent="0.25">
      <c r="A90" s="44" t="s">
        <v>302</v>
      </c>
    </row>
    <row r="91" spans="1:1" ht="15.75" x14ac:dyDescent="0.25">
      <c r="A91" s="65" t="s">
        <v>287</v>
      </c>
    </row>
    <row r="92" spans="1:1" ht="15.75" x14ac:dyDescent="0.25">
      <c r="A92" s="38" t="s">
        <v>288</v>
      </c>
    </row>
    <row r="93" spans="1:1" ht="15.75" x14ac:dyDescent="0.25">
      <c r="A93" s="44" t="s">
        <v>289</v>
      </c>
    </row>
    <row r="94" spans="1:1" ht="15.75" x14ac:dyDescent="0.25">
      <c r="A94" s="44" t="s">
        <v>290</v>
      </c>
    </row>
    <row r="95" spans="1:1" ht="15.75" x14ac:dyDescent="0.25">
      <c r="A95" s="50" t="s">
        <v>291</v>
      </c>
    </row>
    <row r="96" spans="1:1" ht="15.75" x14ac:dyDescent="0.25">
      <c r="A96" s="38" t="s">
        <v>1018</v>
      </c>
    </row>
    <row r="97" spans="1:1" ht="15.75" x14ac:dyDescent="0.25">
      <c r="A97" s="44" t="s">
        <v>292</v>
      </c>
    </row>
    <row r="98" spans="1:1" ht="15.75" x14ac:dyDescent="0.25">
      <c r="A98" s="38" t="s">
        <v>1031</v>
      </c>
    </row>
    <row r="99" spans="1:1" ht="15.75" x14ac:dyDescent="0.25">
      <c r="A99" s="38" t="s">
        <v>1029</v>
      </c>
    </row>
    <row r="100" spans="1:1" ht="15.75" x14ac:dyDescent="0.25">
      <c r="A100" s="44" t="s">
        <v>293</v>
      </c>
    </row>
    <row r="101" spans="1:1" ht="15.75" x14ac:dyDescent="0.25">
      <c r="A101" s="38" t="s">
        <v>294</v>
      </c>
    </row>
    <row r="102" spans="1:1" ht="15.75" x14ac:dyDescent="0.25">
      <c r="A102" s="46" t="s">
        <v>256</v>
      </c>
    </row>
    <row r="103" spans="1:1" ht="15.75" x14ac:dyDescent="0.25">
      <c r="A103" s="44" t="s">
        <v>295</v>
      </c>
    </row>
    <row r="104" spans="1:1" ht="15.75" x14ac:dyDescent="0.25">
      <c r="A104" s="44" t="s">
        <v>296</v>
      </c>
    </row>
    <row r="105" spans="1:1" ht="15.75" x14ac:dyDescent="0.25">
      <c r="A105" s="38" t="s">
        <v>297</v>
      </c>
    </row>
  </sheetData>
  <autoFilter ref="A2:A81" xr:uid="{00000000-0009-0000-0000-000005000000}">
    <sortState xmlns:xlrd2="http://schemas.microsoft.com/office/spreadsheetml/2017/richdata2" ref="A3:A105">
      <sortCondition ref="A2:A81"/>
    </sortState>
  </autoFilter>
  <pageMargins left="0.51180555555555596" right="0.51180555555555596" top="0.78680555555555598" bottom="0.78680555555555598" header="0.31388888888888899" footer="0.31388888888888899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83E42-C15F-4DB0-BC7B-60999F1642BF}">
  <dimension ref="A1:H137"/>
  <sheetViews>
    <sheetView workbookViewId="0">
      <selection activeCell="E19" sqref="E19"/>
    </sheetView>
  </sheetViews>
  <sheetFormatPr defaultRowHeight="15" x14ac:dyDescent="0.25"/>
  <cols>
    <col min="1" max="1" width="4.42578125" style="72" bestFit="1" customWidth="1"/>
    <col min="2" max="2" width="91.42578125" style="66" bestFit="1" customWidth="1"/>
    <col min="3" max="3" width="20.85546875" style="72" customWidth="1"/>
    <col min="4" max="4" width="23.5703125" style="72" bestFit="1" customWidth="1"/>
    <col min="5" max="5" width="42.7109375" style="66" customWidth="1"/>
    <col min="6" max="6" width="65.85546875" style="80" bestFit="1" customWidth="1"/>
    <col min="7" max="7" width="51.28515625" style="71" bestFit="1" customWidth="1"/>
    <col min="8" max="8" width="28.85546875" style="71" bestFit="1" customWidth="1"/>
    <col min="9" max="16384" width="9.140625" style="72"/>
  </cols>
  <sheetData>
    <row r="1" spans="1:8" x14ac:dyDescent="0.25">
      <c r="A1" s="66"/>
      <c r="B1" s="67"/>
      <c r="C1" s="68"/>
      <c r="D1" s="68"/>
      <c r="E1" s="69"/>
      <c r="F1" s="70"/>
      <c r="G1" s="68"/>
    </row>
    <row r="2" spans="1:8" x14ac:dyDescent="0.25">
      <c r="A2" s="66"/>
      <c r="B2" s="73" t="s">
        <v>405</v>
      </c>
      <c r="C2" s="74"/>
      <c r="D2" s="74"/>
      <c r="E2" s="75"/>
      <c r="F2" s="76"/>
      <c r="G2" s="77"/>
      <c r="H2" s="78"/>
    </row>
    <row r="3" spans="1:8" x14ac:dyDescent="0.25">
      <c r="A3" s="66"/>
      <c r="B3" s="79" t="s">
        <v>406</v>
      </c>
      <c r="C3" s="71"/>
      <c r="D3" s="71"/>
      <c r="E3" s="69"/>
      <c r="G3" s="68"/>
      <c r="H3" s="81"/>
    </row>
    <row r="4" spans="1:8" x14ac:dyDescent="0.25">
      <c r="A4" s="66"/>
      <c r="B4" s="79" t="s">
        <v>407</v>
      </c>
      <c r="C4" s="71"/>
      <c r="D4" s="71"/>
      <c r="E4" s="69"/>
      <c r="G4" s="68"/>
      <c r="H4" s="81"/>
    </row>
    <row r="5" spans="1:8" x14ac:dyDescent="0.25">
      <c r="A5" s="66"/>
      <c r="B5" s="79" t="s">
        <v>408</v>
      </c>
      <c r="C5" s="71"/>
      <c r="D5" s="71"/>
      <c r="E5" s="69"/>
      <c r="G5" s="68"/>
      <c r="H5" s="81"/>
    </row>
    <row r="6" spans="1:8" x14ac:dyDescent="0.25">
      <c r="A6" s="66"/>
      <c r="B6" s="79" t="s">
        <v>409</v>
      </c>
      <c r="C6" s="71"/>
      <c r="D6" s="71"/>
      <c r="E6" s="69"/>
      <c r="G6" s="68"/>
      <c r="H6" s="81"/>
    </row>
    <row r="7" spans="1:8" x14ac:dyDescent="0.25">
      <c r="A7" s="66"/>
      <c r="B7" s="79" t="s">
        <v>410</v>
      </c>
      <c r="C7" s="71"/>
      <c r="D7" s="71"/>
      <c r="E7" s="69"/>
      <c r="G7" s="68"/>
      <c r="H7" s="81"/>
    </row>
    <row r="8" spans="1:8" x14ac:dyDescent="0.25">
      <c r="A8" s="66"/>
      <c r="B8" s="82" t="s">
        <v>411</v>
      </c>
      <c r="C8" s="83"/>
      <c r="D8" s="83"/>
      <c r="E8" s="84"/>
      <c r="G8" s="68"/>
      <c r="H8" s="81"/>
    </row>
    <row r="9" spans="1:8" x14ac:dyDescent="0.25">
      <c r="A9" s="66"/>
      <c r="B9" s="82" t="s">
        <v>412</v>
      </c>
      <c r="C9" s="85"/>
      <c r="D9" s="85"/>
      <c r="E9" s="86"/>
      <c r="G9" s="68"/>
      <c r="H9" s="81"/>
    </row>
    <row r="10" spans="1:8" x14ac:dyDescent="0.25">
      <c r="A10" s="66"/>
      <c r="B10" s="87" t="s">
        <v>413</v>
      </c>
      <c r="C10" s="88"/>
      <c r="D10" s="88"/>
      <c r="E10" s="89"/>
      <c r="F10" s="90"/>
      <c r="G10" s="88"/>
      <c r="H10" s="91"/>
    </row>
    <row r="11" spans="1:8" x14ac:dyDescent="0.25">
      <c r="A11" s="66"/>
      <c r="B11" s="399" t="s">
        <v>414</v>
      </c>
      <c r="C11" s="400"/>
      <c r="D11" s="400"/>
      <c r="E11" s="400"/>
      <c r="F11" s="401"/>
      <c r="G11" s="92"/>
      <c r="H11" s="92"/>
    </row>
    <row r="12" spans="1:8" x14ac:dyDescent="0.25">
      <c r="A12" s="66"/>
      <c r="B12" s="93"/>
      <c r="C12" s="94"/>
      <c r="D12" s="94"/>
      <c r="E12" s="95"/>
      <c r="F12" s="96"/>
      <c r="G12" s="94"/>
      <c r="H12" s="94"/>
    </row>
    <row r="13" spans="1:8" x14ac:dyDescent="0.25">
      <c r="A13" s="66"/>
      <c r="B13" s="92" t="s">
        <v>415</v>
      </c>
      <c r="C13" s="92" t="s">
        <v>416</v>
      </c>
      <c r="D13" s="92" t="s">
        <v>417</v>
      </c>
      <c r="E13" s="97" t="s">
        <v>418</v>
      </c>
      <c r="F13" s="98" t="s">
        <v>419</v>
      </c>
      <c r="G13" s="92" t="s">
        <v>420</v>
      </c>
      <c r="H13" s="92" t="s">
        <v>421</v>
      </c>
    </row>
    <row r="14" spans="1:8" ht="30" x14ac:dyDescent="0.25">
      <c r="A14" s="66"/>
      <c r="B14" s="99" t="s">
        <v>422</v>
      </c>
      <c r="C14" s="100" t="s">
        <v>423</v>
      </c>
      <c r="D14" s="101" t="s">
        <v>424</v>
      </c>
      <c r="E14" s="99" t="s">
        <v>425</v>
      </c>
      <c r="F14" s="102" t="s">
        <v>426</v>
      </c>
      <c r="G14" s="103"/>
      <c r="H14" s="103" t="s">
        <v>427</v>
      </c>
    </row>
    <row r="15" spans="1:8" ht="30" x14ac:dyDescent="0.25">
      <c r="A15" s="66">
        <v>1</v>
      </c>
      <c r="B15" s="95" t="s">
        <v>428</v>
      </c>
      <c r="C15" s="104" t="s">
        <v>429</v>
      </c>
      <c r="D15" s="94" t="s">
        <v>430</v>
      </c>
      <c r="E15" s="95" t="s">
        <v>431</v>
      </c>
      <c r="F15" s="105" t="s">
        <v>432</v>
      </c>
      <c r="G15" s="106" t="s">
        <v>433</v>
      </c>
      <c r="H15" s="94" t="s">
        <v>427</v>
      </c>
    </row>
    <row r="16" spans="1:8" x14ac:dyDescent="0.25">
      <c r="A16" s="66">
        <v>2</v>
      </c>
      <c r="B16" s="107" t="s">
        <v>434</v>
      </c>
      <c r="C16" s="108" t="s">
        <v>435</v>
      </c>
      <c r="D16" s="108" t="s">
        <v>436</v>
      </c>
      <c r="E16" s="109" t="s">
        <v>437</v>
      </c>
      <c r="F16" s="110" t="s">
        <v>438</v>
      </c>
      <c r="G16" s="111" t="s">
        <v>439</v>
      </c>
      <c r="H16" s="94" t="s">
        <v>427</v>
      </c>
    </row>
    <row r="17" spans="1:8" ht="30" customHeight="1" x14ac:dyDescent="0.25">
      <c r="A17" s="66">
        <v>3</v>
      </c>
      <c r="B17" s="112" t="s">
        <v>440</v>
      </c>
      <c r="C17" s="94" t="s">
        <v>441</v>
      </c>
      <c r="D17" s="104" t="s">
        <v>442</v>
      </c>
      <c r="E17" s="95"/>
      <c r="F17" s="110"/>
      <c r="G17" s="94"/>
      <c r="H17" s="94" t="s">
        <v>443</v>
      </c>
    </row>
    <row r="18" spans="1:8" ht="30" x14ac:dyDescent="0.25">
      <c r="A18" s="66">
        <v>4</v>
      </c>
      <c r="B18" s="113" t="s">
        <v>444</v>
      </c>
      <c r="C18" s="114" t="s">
        <v>445</v>
      </c>
      <c r="D18" s="101" t="s">
        <v>446</v>
      </c>
      <c r="E18" s="113" t="s">
        <v>447</v>
      </c>
      <c r="F18" s="115" t="s">
        <v>448</v>
      </c>
      <c r="G18" s="101"/>
      <c r="H18" s="101" t="s">
        <v>449</v>
      </c>
    </row>
    <row r="19" spans="1:8" ht="30" x14ac:dyDescent="0.25">
      <c r="A19" s="66">
        <v>5</v>
      </c>
      <c r="B19" s="113" t="s">
        <v>450</v>
      </c>
      <c r="C19" s="116" t="s">
        <v>451</v>
      </c>
      <c r="D19" s="114" t="s">
        <v>452</v>
      </c>
      <c r="E19" s="113" t="s">
        <v>453</v>
      </c>
      <c r="F19" s="117" t="s">
        <v>454</v>
      </c>
      <c r="G19" s="117" t="s">
        <v>455</v>
      </c>
      <c r="H19" s="101" t="s">
        <v>427</v>
      </c>
    </row>
    <row r="20" spans="1:8" ht="45" customHeight="1" x14ac:dyDescent="0.25">
      <c r="A20" s="66">
        <v>6</v>
      </c>
      <c r="B20" s="112" t="s">
        <v>456</v>
      </c>
      <c r="C20" s="112" t="s">
        <v>457</v>
      </c>
      <c r="D20" s="104"/>
      <c r="E20" s="118"/>
      <c r="F20" s="119"/>
      <c r="G20" s="120"/>
      <c r="H20" s="120"/>
    </row>
    <row r="21" spans="1:8" ht="60" x14ac:dyDescent="0.25">
      <c r="A21" s="66">
        <v>7</v>
      </c>
      <c r="B21" s="113" t="s">
        <v>458</v>
      </c>
      <c r="C21" s="114" t="s">
        <v>459</v>
      </c>
      <c r="D21" s="101" t="s">
        <v>460</v>
      </c>
      <c r="E21" s="113" t="s">
        <v>461</v>
      </c>
      <c r="F21" s="121" t="s">
        <v>462</v>
      </c>
      <c r="G21" s="121" t="s">
        <v>463</v>
      </c>
      <c r="H21" s="101" t="s">
        <v>443</v>
      </c>
    </row>
    <row r="22" spans="1:8" x14ac:dyDescent="0.25">
      <c r="A22" s="66">
        <v>8</v>
      </c>
      <c r="B22" s="118" t="s">
        <v>464</v>
      </c>
      <c r="C22" s="94" t="s">
        <v>465</v>
      </c>
      <c r="D22" s="104" t="s">
        <v>466</v>
      </c>
      <c r="E22" s="95" t="s">
        <v>467</v>
      </c>
      <c r="F22" s="111"/>
      <c r="G22" s="111" t="s">
        <v>468</v>
      </c>
      <c r="H22" s="94" t="s">
        <v>427</v>
      </c>
    </row>
    <row r="23" spans="1:8" ht="45" customHeight="1" x14ac:dyDescent="0.25">
      <c r="A23" s="66">
        <v>9</v>
      </c>
      <c r="B23" s="113" t="s">
        <v>469</v>
      </c>
      <c r="C23" s="113" t="s">
        <v>470</v>
      </c>
      <c r="D23" s="114"/>
      <c r="E23" s="113"/>
      <c r="F23" s="122"/>
      <c r="G23" s="123"/>
      <c r="H23" s="123"/>
    </row>
    <row r="24" spans="1:8" ht="30" x14ac:dyDescent="0.25">
      <c r="A24" s="66">
        <v>10</v>
      </c>
      <c r="B24" s="124" t="s">
        <v>471</v>
      </c>
      <c r="C24" s="101" t="s">
        <v>470</v>
      </c>
      <c r="D24" s="114"/>
      <c r="E24" s="113" t="s">
        <v>472</v>
      </c>
      <c r="F24" s="115"/>
      <c r="G24" s="115"/>
      <c r="H24" s="94" t="s">
        <v>449</v>
      </c>
    </row>
    <row r="25" spans="1:8" x14ac:dyDescent="0.25">
      <c r="A25" s="66">
        <v>11</v>
      </c>
      <c r="B25" s="125" t="s">
        <v>473</v>
      </c>
      <c r="C25" s="104" t="s">
        <v>474</v>
      </c>
      <c r="D25" s="94"/>
      <c r="E25" s="95" t="s">
        <v>475</v>
      </c>
      <c r="F25" s="110"/>
      <c r="G25" s="94"/>
      <c r="H25" s="94" t="s">
        <v>449</v>
      </c>
    </row>
    <row r="26" spans="1:8" ht="30" customHeight="1" x14ac:dyDescent="0.25">
      <c r="A26" s="66">
        <v>12</v>
      </c>
      <c r="B26" s="113" t="s">
        <v>476</v>
      </c>
      <c r="C26" s="113" t="s">
        <v>477</v>
      </c>
      <c r="D26" s="114"/>
      <c r="E26" s="113"/>
      <c r="F26" s="122" t="s">
        <v>478</v>
      </c>
      <c r="G26" s="123"/>
      <c r="H26" s="123"/>
    </row>
    <row r="27" spans="1:8" ht="29.25" customHeight="1" x14ac:dyDescent="0.25">
      <c r="A27" s="66">
        <v>13</v>
      </c>
      <c r="B27" s="95" t="s">
        <v>479</v>
      </c>
      <c r="C27" s="95" t="s">
        <v>480</v>
      </c>
      <c r="D27" s="104" t="s">
        <v>481</v>
      </c>
      <c r="E27" s="95"/>
      <c r="F27" s="126"/>
      <c r="G27" s="127" t="s">
        <v>482</v>
      </c>
      <c r="H27" s="128" t="s">
        <v>443</v>
      </c>
    </row>
    <row r="28" spans="1:8" ht="30" x14ac:dyDescent="0.25">
      <c r="A28" s="66">
        <v>14</v>
      </c>
      <c r="B28" s="95" t="s">
        <v>483</v>
      </c>
      <c r="C28" s="104" t="s">
        <v>484</v>
      </c>
      <c r="D28" s="94" t="s">
        <v>485</v>
      </c>
      <c r="E28" s="95" t="s">
        <v>486</v>
      </c>
      <c r="F28" s="106" t="s">
        <v>487</v>
      </c>
      <c r="G28" s="111" t="s">
        <v>488</v>
      </c>
      <c r="H28" s="94" t="s">
        <v>489</v>
      </c>
    </row>
    <row r="29" spans="1:8" ht="30" x14ac:dyDescent="0.25">
      <c r="A29" s="66">
        <v>15</v>
      </c>
      <c r="B29" s="95" t="s">
        <v>490</v>
      </c>
      <c r="C29" s="104" t="s">
        <v>491</v>
      </c>
      <c r="D29" s="104" t="s">
        <v>492</v>
      </c>
      <c r="E29" s="95" t="s">
        <v>493</v>
      </c>
      <c r="F29" s="110"/>
      <c r="G29" s="106"/>
      <c r="H29" s="94" t="s">
        <v>443</v>
      </c>
    </row>
    <row r="30" spans="1:8" ht="30" x14ac:dyDescent="0.25">
      <c r="A30" s="66">
        <v>16</v>
      </c>
      <c r="B30" s="113" t="s">
        <v>494</v>
      </c>
      <c r="C30" s="114" t="s">
        <v>495</v>
      </c>
      <c r="D30" s="101" t="s">
        <v>496</v>
      </c>
      <c r="E30" s="113" t="s">
        <v>497</v>
      </c>
      <c r="F30" s="129" t="s">
        <v>498</v>
      </c>
      <c r="G30" s="121" t="s">
        <v>499</v>
      </c>
      <c r="H30" s="101" t="s">
        <v>427</v>
      </c>
    </row>
    <row r="31" spans="1:8" ht="30" x14ac:dyDescent="0.25">
      <c r="A31" s="66">
        <v>17</v>
      </c>
      <c r="B31" s="125" t="s">
        <v>500</v>
      </c>
      <c r="C31" s="94" t="s">
        <v>501</v>
      </c>
      <c r="D31" s="104" t="s">
        <v>502</v>
      </c>
      <c r="E31" s="95" t="s">
        <v>497</v>
      </c>
      <c r="F31" s="110"/>
      <c r="G31" s="94"/>
      <c r="H31" s="94"/>
    </row>
    <row r="32" spans="1:8" x14ac:dyDescent="0.25">
      <c r="A32" s="66">
        <v>18</v>
      </c>
      <c r="B32" s="113" t="s">
        <v>503</v>
      </c>
      <c r="C32" s="114" t="s">
        <v>504</v>
      </c>
      <c r="D32" s="114"/>
      <c r="E32" s="113"/>
      <c r="F32" s="130"/>
      <c r="G32" s="115" t="s">
        <v>505</v>
      </c>
      <c r="H32" s="131"/>
    </row>
    <row r="33" spans="1:8" ht="45" x14ac:dyDescent="0.25">
      <c r="A33" s="66">
        <v>19</v>
      </c>
      <c r="B33" s="132" t="s">
        <v>506</v>
      </c>
      <c r="C33" s="133" t="s">
        <v>507</v>
      </c>
      <c r="D33" s="134" t="s">
        <v>508</v>
      </c>
      <c r="E33" s="132" t="s">
        <v>509</v>
      </c>
      <c r="F33" s="130"/>
      <c r="G33" s="114"/>
      <c r="H33" s="114" t="s">
        <v>443</v>
      </c>
    </row>
    <row r="34" spans="1:8" ht="30" x14ac:dyDescent="0.25">
      <c r="A34" s="66">
        <v>20</v>
      </c>
      <c r="B34" s="113" t="s">
        <v>510</v>
      </c>
      <c r="C34" s="101" t="s">
        <v>511</v>
      </c>
      <c r="D34" s="114" t="s">
        <v>512</v>
      </c>
      <c r="E34" s="113" t="s">
        <v>513</v>
      </c>
      <c r="F34" s="135"/>
      <c r="G34" s="115" t="s">
        <v>514</v>
      </c>
      <c r="H34" s="101" t="s">
        <v>515</v>
      </c>
    </row>
    <row r="35" spans="1:8" ht="45" customHeight="1" x14ac:dyDescent="0.25">
      <c r="A35" s="66">
        <v>21</v>
      </c>
      <c r="B35" s="136" t="s">
        <v>516</v>
      </c>
      <c r="C35" s="136"/>
      <c r="D35" s="97"/>
      <c r="E35" s="136"/>
      <c r="F35" s="119"/>
      <c r="G35" s="120"/>
      <c r="H35" s="120" t="s">
        <v>449</v>
      </c>
    </row>
    <row r="36" spans="1:8" ht="30" x14ac:dyDescent="0.25">
      <c r="A36" s="66">
        <v>22</v>
      </c>
      <c r="B36" s="95" t="s">
        <v>517</v>
      </c>
      <c r="C36" s="137" t="s">
        <v>518</v>
      </c>
      <c r="D36" s="138"/>
      <c r="E36" s="139"/>
      <c r="F36" s="140" t="s">
        <v>478</v>
      </c>
      <c r="G36" s="141"/>
      <c r="H36" s="128"/>
    </row>
    <row r="37" spans="1:8" ht="60" customHeight="1" x14ac:dyDescent="0.25">
      <c r="A37" s="66">
        <v>23</v>
      </c>
      <c r="B37" s="113" t="s">
        <v>519</v>
      </c>
      <c r="C37" s="142" t="s">
        <v>520</v>
      </c>
      <c r="D37" s="143"/>
      <c r="E37" s="132" t="s">
        <v>521</v>
      </c>
      <c r="F37" s="144" t="s">
        <v>522</v>
      </c>
      <c r="G37" s="143"/>
      <c r="H37" s="101" t="s">
        <v>449</v>
      </c>
    </row>
    <row r="38" spans="1:8" x14ac:dyDescent="0.25">
      <c r="A38" s="66">
        <v>24</v>
      </c>
      <c r="B38" s="145" t="s">
        <v>523</v>
      </c>
      <c r="C38" s="101" t="s">
        <v>524</v>
      </c>
      <c r="D38" s="114" t="s">
        <v>525</v>
      </c>
      <c r="E38" s="113" t="s">
        <v>526</v>
      </c>
      <c r="F38" s="115"/>
      <c r="G38" s="115"/>
      <c r="H38" s="101" t="s">
        <v>427</v>
      </c>
    </row>
    <row r="39" spans="1:8" ht="15" customHeight="1" x14ac:dyDescent="0.25">
      <c r="A39" s="66">
        <v>25</v>
      </c>
      <c r="B39" s="113" t="s">
        <v>527</v>
      </c>
      <c r="C39" s="113" t="s">
        <v>528</v>
      </c>
      <c r="D39" s="114" t="s">
        <v>529</v>
      </c>
      <c r="E39" s="113"/>
      <c r="F39" s="122" t="s">
        <v>478</v>
      </c>
      <c r="G39" s="123"/>
      <c r="H39" s="123"/>
    </row>
    <row r="40" spans="1:8" ht="30" x14ac:dyDescent="0.25">
      <c r="A40" s="66">
        <v>26</v>
      </c>
      <c r="B40" s="113" t="s">
        <v>530</v>
      </c>
      <c r="C40" s="114" t="s">
        <v>531</v>
      </c>
      <c r="D40" s="101" t="s">
        <v>532</v>
      </c>
      <c r="E40" s="113" t="s">
        <v>533</v>
      </c>
      <c r="F40" s="121" t="s">
        <v>534</v>
      </c>
      <c r="G40" s="121" t="s">
        <v>535</v>
      </c>
      <c r="H40" s="101" t="s">
        <v>536</v>
      </c>
    </row>
    <row r="41" spans="1:8" ht="30" x14ac:dyDescent="0.25">
      <c r="A41" s="66">
        <v>27</v>
      </c>
      <c r="B41" s="146" t="s">
        <v>537</v>
      </c>
      <c r="C41" s="94" t="s">
        <v>538</v>
      </c>
      <c r="D41" s="94"/>
      <c r="E41" s="95"/>
      <c r="F41" s="110"/>
      <c r="G41" s="94"/>
      <c r="H41" s="94" t="s">
        <v>449</v>
      </c>
    </row>
    <row r="42" spans="1:8" ht="30" x14ac:dyDescent="0.25">
      <c r="A42" s="66">
        <v>28</v>
      </c>
      <c r="B42" s="95" t="s">
        <v>539</v>
      </c>
      <c r="C42" s="104" t="s">
        <v>540</v>
      </c>
      <c r="D42" s="104" t="s">
        <v>541</v>
      </c>
      <c r="E42" s="95" t="s">
        <v>542</v>
      </c>
      <c r="F42" s="105" t="s">
        <v>543</v>
      </c>
      <c r="G42" s="111" t="s">
        <v>544</v>
      </c>
      <c r="H42" s="147" t="s">
        <v>489</v>
      </c>
    </row>
    <row r="43" spans="1:8" ht="30" customHeight="1" x14ac:dyDescent="0.25">
      <c r="A43" s="66">
        <v>29</v>
      </c>
      <c r="B43" s="95" t="s">
        <v>545</v>
      </c>
      <c r="C43" s="95" t="s">
        <v>546</v>
      </c>
      <c r="D43" s="104"/>
      <c r="E43" s="95"/>
      <c r="F43" s="126" t="s">
        <v>478</v>
      </c>
      <c r="G43" s="128"/>
      <c r="H43" s="128"/>
    </row>
    <row r="44" spans="1:8" ht="15" customHeight="1" x14ac:dyDescent="0.25">
      <c r="A44" s="66">
        <v>30</v>
      </c>
      <c r="B44" s="95" t="s">
        <v>547</v>
      </c>
      <c r="C44" s="94" t="s">
        <v>548</v>
      </c>
      <c r="D44" s="104"/>
      <c r="E44" s="118"/>
      <c r="F44" s="119"/>
      <c r="G44" s="120"/>
      <c r="H44" s="94" t="s">
        <v>427</v>
      </c>
    </row>
    <row r="45" spans="1:8" ht="30" x14ac:dyDescent="0.25">
      <c r="A45" s="66">
        <v>31</v>
      </c>
      <c r="B45" s="95" t="s">
        <v>549</v>
      </c>
      <c r="C45" s="104" t="s">
        <v>550</v>
      </c>
      <c r="D45" s="104" t="s">
        <v>551</v>
      </c>
      <c r="E45" s="95" t="s">
        <v>552</v>
      </c>
      <c r="F45" s="148" t="s">
        <v>553</v>
      </c>
      <c r="G45" s="94" t="s">
        <v>554</v>
      </c>
      <c r="H45" s="94" t="s">
        <v>427</v>
      </c>
    </row>
    <row r="46" spans="1:8" ht="28.5" customHeight="1" x14ac:dyDescent="0.25">
      <c r="A46" s="66">
        <v>32</v>
      </c>
      <c r="B46" s="149" t="s">
        <v>555</v>
      </c>
      <c r="C46" s="101" t="s">
        <v>556</v>
      </c>
      <c r="D46" s="101"/>
      <c r="E46" s="113" t="s">
        <v>557</v>
      </c>
      <c r="F46" s="129"/>
      <c r="G46" s="101"/>
      <c r="H46" s="101" t="s">
        <v>449</v>
      </c>
    </row>
    <row r="47" spans="1:8" x14ac:dyDescent="0.25">
      <c r="A47" s="66">
        <v>33</v>
      </c>
      <c r="B47" s="145" t="s">
        <v>558</v>
      </c>
      <c r="C47" s="101" t="s">
        <v>559</v>
      </c>
      <c r="D47" s="101" t="s">
        <v>560</v>
      </c>
      <c r="E47" s="113" t="s">
        <v>557</v>
      </c>
      <c r="F47" s="129"/>
      <c r="G47" s="121" t="s">
        <v>561</v>
      </c>
      <c r="H47" s="101" t="s">
        <v>427</v>
      </c>
    </row>
    <row r="48" spans="1:8" ht="45" x14ac:dyDescent="0.25">
      <c r="A48" s="66">
        <v>34</v>
      </c>
      <c r="B48" s="113" t="s">
        <v>562</v>
      </c>
      <c r="C48" s="114" t="s">
        <v>563</v>
      </c>
      <c r="D48" s="114" t="s">
        <v>564</v>
      </c>
      <c r="E48" s="113" t="s">
        <v>565</v>
      </c>
      <c r="F48" s="150" t="s">
        <v>566</v>
      </c>
      <c r="G48" s="101" t="s">
        <v>554</v>
      </c>
      <c r="H48" s="101" t="s">
        <v>427</v>
      </c>
    </row>
    <row r="49" spans="1:8" ht="30" x14ac:dyDescent="0.25">
      <c r="A49" s="66">
        <v>35</v>
      </c>
      <c r="B49" s="125" t="s">
        <v>567</v>
      </c>
      <c r="C49" s="104" t="s">
        <v>568</v>
      </c>
      <c r="D49" s="94" t="s">
        <v>569</v>
      </c>
      <c r="E49" s="95" t="s">
        <v>570</v>
      </c>
      <c r="F49" s="110"/>
      <c r="G49" s="106" t="s">
        <v>571</v>
      </c>
      <c r="H49" s="94" t="s">
        <v>427</v>
      </c>
    </row>
    <row r="50" spans="1:8" s="68" customFormat="1" ht="30" x14ac:dyDescent="0.25">
      <c r="A50" s="66">
        <v>36</v>
      </c>
      <c r="B50" s="113" t="s">
        <v>572</v>
      </c>
      <c r="C50" s="113" t="s">
        <v>573</v>
      </c>
      <c r="D50" s="114" t="s">
        <v>574</v>
      </c>
      <c r="E50" s="113" t="s">
        <v>575</v>
      </c>
      <c r="F50" s="129"/>
      <c r="G50" s="121" t="s">
        <v>576</v>
      </c>
      <c r="H50" s="101" t="s">
        <v>427</v>
      </c>
    </row>
    <row r="51" spans="1:8" ht="15" customHeight="1" x14ac:dyDescent="0.25">
      <c r="A51" s="66">
        <v>37</v>
      </c>
      <c r="B51" s="95" t="s">
        <v>577</v>
      </c>
      <c r="C51" s="69" t="s">
        <v>578</v>
      </c>
      <c r="D51" s="138"/>
      <c r="E51" s="139"/>
      <c r="F51" s="140" t="s">
        <v>478</v>
      </c>
      <c r="G51" s="141"/>
      <c r="H51" s="141"/>
    </row>
    <row r="52" spans="1:8" ht="29.25" customHeight="1" x14ac:dyDescent="0.25">
      <c r="A52" s="66">
        <v>38</v>
      </c>
      <c r="B52" s="95" t="s">
        <v>579</v>
      </c>
      <c r="C52" s="95" t="s">
        <v>580</v>
      </c>
      <c r="D52" s="104" t="s">
        <v>581</v>
      </c>
      <c r="E52" s="95" t="s">
        <v>582</v>
      </c>
      <c r="F52" s="126"/>
      <c r="G52" s="128"/>
      <c r="H52" s="128" t="s">
        <v>443</v>
      </c>
    </row>
    <row r="53" spans="1:8" ht="31.5" x14ac:dyDescent="0.25">
      <c r="A53" s="66">
        <v>39</v>
      </c>
      <c r="B53" s="151" t="s">
        <v>583</v>
      </c>
      <c r="C53" s="104" t="s">
        <v>584</v>
      </c>
      <c r="D53" s="94" t="s">
        <v>585</v>
      </c>
      <c r="E53" s="95" t="s">
        <v>586</v>
      </c>
      <c r="F53" s="106"/>
      <c r="G53" s="106" t="s">
        <v>587</v>
      </c>
      <c r="H53" s="94" t="s">
        <v>427</v>
      </c>
    </row>
    <row r="54" spans="1:8" ht="30" customHeight="1" x14ac:dyDescent="0.25">
      <c r="A54" s="66">
        <v>40</v>
      </c>
      <c r="B54" s="113" t="s">
        <v>588</v>
      </c>
      <c r="C54" s="145" t="s">
        <v>589</v>
      </c>
      <c r="D54" s="114" t="s">
        <v>590</v>
      </c>
      <c r="E54" s="145" t="s">
        <v>591</v>
      </c>
      <c r="F54" s="152"/>
      <c r="G54" s="153"/>
      <c r="H54" s="153"/>
    </row>
    <row r="55" spans="1:8" x14ac:dyDescent="0.25">
      <c r="A55" s="66">
        <v>41</v>
      </c>
      <c r="B55" s="95" t="s">
        <v>592</v>
      </c>
      <c r="C55" s="95" t="s">
        <v>593</v>
      </c>
      <c r="D55" s="104" t="s">
        <v>594</v>
      </c>
      <c r="E55" s="95" t="s">
        <v>595</v>
      </c>
      <c r="F55" s="126"/>
      <c r="G55" s="128"/>
      <c r="H55" s="128" t="s">
        <v>443</v>
      </c>
    </row>
    <row r="56" spans="1:8" ht="30" x14ac:dyDescent="0.25">
      <c r="A56" s="66">
        <v>42</v>
      </c>
      <c r="B56" s="95" t="s">
        <v>596</v>
      </c>
      <c r="C56" s="95" t="s">
        <v>597</v>
      </c>
      <c r="D56" s="104" t="s">
        <v>598</v>
      </c>
      <c r="E56" s="95" t="s">
        <v>599</v>
      </c>
      <c r="F56" s="154"/>
      <c r="G56" s="148" t="s">
        <v>600</v>
      </c>
      <c r="H56" s="104" t="s">
        <v>601</v>
      </c>
    </row>
    <row r="57" spans="1:8" ht="30" x14ac:dyDescent="0.25">
      <c r="A57" s="66">
        <v>43</v>
      </c>
      <c r="B57" s="155" t="s">
        <v>602</v>
      </c>
      <c r="C57" s="116" t="s">
        <v>603</v>
      </c>
      <c r="D57" s="114" t="s">
        <v>604</v>
      </c>
      <c r="E57" s="145"/>
      <c r="F57" s="152"/>
      <c r="G57" s="153"/>
      <c r="H57" s="153" t="s">
        <v>601</v>
      </c>
    </row>
    <row r="58" spans="1:8" ht="15" customHeight="1" x14ac:dyDescent="0.25">
      <c r="A58" s="66">
        <v>44</v>
      </c>
      <c r="B58" s="95" t="s">
        <v>605</v>
      </c>
      <c r="C58" s="104" t="s">
        <v>606</v>
      </c>
      <c r="D58" s="94" t="s">
        <v>607</v>
      </c>
      <c r="E58" s="95" t="s">
        <v>608</v>
      </c>
      <c r="F58" s="106" t="s">
        <v>609</v>
      </c>
      <c r="G58" s="111" t="s">
        <v>610</v>
      </c>
      <c r="H58" s="94" t="s">
        <v>489</v>
      </c>
    </row>
    <row r="59" spans="1:8" ht="29.25" customHeight="1" x14ac:dyDescent="0.25">
      <c r="A59" s="66">
        <v>45</v>
      </c>
      <c r="B59" s="156" t="s">
        <v>611</v>
      </c>
      <c r="C59" s="114" t="s">
        <v>612</v>
      </c>
      <c r="D59" s="114" t="s">
        <v>613</v>
      </c>
      <c r="E59" s="113" t="s">
        <v>614</v>
      </c>
      <c r="F59" s="152"/>
      <c r="G59" s="157" t="s">
        <v>615</v>
      </c>
      <c r="H59" s="101" t="s">
        <v>427</v>
      </c>
    </row>
    <row r="60" spans="1:8" ht="29.25" customHeight="1" x14ac:dyDescent="0.25">
      <c r="A60" s="66">
        <v>46</v>
      </c>
      <c r="B60" s="113" t="s">
        <v>616</v>
      </c>
      <c r="C60" s="114" t="s">
        <v>617</v>
      </c>
      <c r="D60" s="114" t="s">
        <v>618</v>
      </c>
      <c r="E60" s="113" t="s">
        <v>619</v>
      </c>
      <c r="F60" s="150"/>
      <c r="G60" s="150" t="s">
        <v>620</v>
      </c>
      <c r="H60" s="101" t="s">
        <v>443</v>
      </c>
    </row>
    <row r="61" spans="1:8" ht="45" x14ac:dyDescent="0.25">
      <c r="A61" s="66">
        <v>47</v>
      </c>
      <c r="B61" s="158" t="s">
        <v>621</v>
      </c>
      <c r="C61" s="142" t="s">
        <v>622</v>
      </c>
      <c r="D61" s="134" t="s">
        <v>623</v>
      </c>
      <c r="E61" s="133" t="s">
        <v>624</v>
      </c>
      <c r="F61" s="121" t="s">
        <v>625</v>
      </c>
      <c r="G61" s="121" t="s">
        <v>626</v>
      </c>
      <c r="H61" s="116" t="s">
        <v>427</v>
      </c>
    </row>
    <row r="62" spans="1:8" ht="30" x14ac:dyDescent="0.25">
      <c r="A62" s="66">
        <v>48</v>
      </c>
      <c r="B62" s="124" t="s">
        <v>627</v>
      </c>
      <c r="C62" s="159" t="s">
        <v>628</v>
      </c>
      <c r="D62" s="143" t="s">
        <v>629</v>
      </c>
      <c r="E62" s="132"/>
      <c r="F62" s="144"/>
      <c r="G62" s="143"/>
      <c r="H62" s="143" t="s">
        <v>449</v>
      </c>
    </row>
    <row r="63" spans="1:8" ht="15" customHeight="1" x14ac:dyDescent="0.25">
      <c r="A63" s="66">
        <v>49</v>
      </c>
      <c r="B63" s="95" t="s">
        <v>630</v>
      </c>
      <c r="C63" s="160" t="s">
        <v>631</v>
      </c>
      <c r="D63" s="161"/>
      <c r="E63" s="139" t="s">
        <v>632</v>
      </c>
      <c r="F63" s="162"/>
      <c r="G63" s="163" t="s">
        <v>633</v>
      </c>
      <c r="H63" s="161" t="s">
        <v>427</v>
      </c>
    </row>
    <row r="64" spans="1:8" ht="30" x14ac:dyDescent="0.25">
      <c r="A64" s="66">
        <v>50</v>
      </c>
      <c r="B64" s="113" t="s">
        <v>634</v>
      </c>
      <c r="C64" s="164" t="s">
        <v>635</v>
      </c>
      <c r="D64" s="134" t="s">
        <v>636</v>
      </c>
      <c r="E64" s="132" t="s">
        <v>637</v>
      </c>
      <c r="F64" s="165" t="s">
        <v>638</v>
      </c>
      <c r="G64" s="166" t="s">
        <v>554</v>
      </c>
      <c r="H64" s="166" t="s">
        <v>601</v>
      </c>
    </row>
    <row r="65" spans="1:8" x14ac:dyDescent="0.25">
      <c r="A65" s="66">
        <v>51</v>
      </c>
      <c r="B65" s="145" t="s">
        <v>639</v>
      </c>
      <c r="C65" s="145" t="s">
        <v>640</v>
      </c>
      <c r="D65" s="114"/>
      <c r="E65" s="145"/>
      <c r="F65" s="152"/>
      <c r="G65" s="153"/>
      <c r="H65" s="153" t="s">
        <v>449</v>
      </c>
    </row>
    <row r="66" spans="1:8" ht="30" customHeight="1" x14ac:dyDescent="0.25">
      <c r="A66" s="66">
        <v>52</v>
      </c>
      <c r="B66" s="139" t="s">
        <v>641</v>
      </c>
      <c r="C66" s="161"/>
      <c r="D66" s="161" t="s">
        <v>642</v>
      </c>
      <c r="E66" s="139" t="s">
        <v>643</v>
      </c>
      <c r="F66" s="162"/>
      <c r="G66" s="161"/>
      <c r="H66" s="161" t="s">
        <v>443</v>
      </c>
    </row>
    <row r="67" spans="1:8" ht="28.5" customHeight="1" x14ac:dyDescent="0.25">
      <c r="A67" s="66">
        <v>53</v>
      </c>
      <c r="B67" s="113" t="s">
        <v>644</v>
      </c>
      <c r="C67" s="114" t="s">
        <v>645</v>
      </c>
      <c r="D67" s="114"/>
      <c r="E67" s="113" t="s">
        <v>646</v>
      </c>
      <c r="F67" s="130"/>
      <c r="G67" s="101" t="s">
        <v>554</v>
      </c>
      <c r="H67" s="101" t="s">
        <v>449</v>
      </c>
    </row>
    <row r="68" spans="1:8" s="66" customFormat="1" ht="27.75" customHeight="1" x14ac:dyDescent="0.25">
      <c r="A68" s="66">
        <v>54</v>
      </c>
      <c r="B68" s="167" t="s">
        <v>647</v>
      </c>
      <c r="C68" s="161" t="s">
        <v>648</v>
      </c>
      <c r="D68" s="161"/>
      <c r="E68" s="139" t="s">
        <v>649</v>
      </c>
      <c r="F68" s="162"/>
      <c r="G68" s="161"/>
      <c r="H68" s="161" t="s">
        <v>449</v>
      </c>
    </row>
    <row r="69" spans="1:8" ht="29.25" customHeight="1" x14ac:dyDescent="0.25">
      <c r="A69" s="66">
        <v>55</v>
      </c>
      <c r="B69" s="132" t="s">
        <v>650</v>
      </c>
      <c r="C69" s="134" t="s">
        <v>651</v>
      </c>
      <c r="D69" s="168" t="s">
        <v>652</v>
      </c>
      <c r="E69" s="132" t="s">
        <v>653</v>
      </c>
      <c r="F69" s="168" t="s">
        <v>654</v>
      </c>
      <c r="G69" s="143"/>
      <c r="H69" s="143" t="s">
        <v>427</v>
      </c>
    </row>
    <row r="70" spans="1:8" ht="15" customHeight="1" x14ac:dyDescent="0.25">
      <c r="A70" s="66">
        <v>56</v>
      </c>
      <c r="B70" s="169" t="s">
        <v>655</v>
      </c>
      <c r="C70" s="161"/>
      <c r="D70" s="161"/>
      <c r="E70" s="139"/>
      <c r="F70" s="162"/>
      <c r="G70" s="161"/>
      <c r="H70" s="161" t="s">
        <v>449</v>
      </c>
    </row>
    <row r="71" spans="1:8" ht="29.25" customHeight="1" x14ac:dyDescent="0.25">
      <c r="A71" s="66">
        <v>57</v>
      </c>
      <c r="B71" s="170" t="s">
        <v>656</v>
      </c>
      <c r="C71" s="138" t="s">
        <v>657</v>
      </c>
      <c r="D71" s="161" t="s">
        <v>658</v>
      </c>
      <c r="E71" s="139" t="s">
        <v>659</v>
      </c>
      <c r="F71" s="171" t="s">
        <v>660</v>
      </c>
      <c r="G71" s="172" t="s">
        <v>660</v>
      </c>
      <c r="H71" s="161" t="s">
        <v>489</v>
      </c>
    </row>
    <row r="72" spans="1:8" ht="28.5" customHeight="1" x14ac:dyDescent="0.25">
      <c r="A72" s="66">
        <v>58</v>
      </c>
      <c r="B72" s="173" t="s">
        <v>661</v>
      </c>
      <c r="C72" s="139" t="s">
        <v>662</v>
      </c>
      <c r="D72" s="138" t="s">
        <v>663</v>
      </c>
      <c r="E72" s="139" t="s">
        <v>664</v>
      </c>
      <c r="F72" s="172"/>
      <c r="G72" s="172" t="s">
        <v>665</v>
      </c>
      <c r="H72" s="161" t="s">
        <v>515</v>
      </c>
    </row>
    <row r="73" spans="1:8" s="66" customFormat="1" ht="30" x14ac:dyDescent="0.25">
      <c r="A73" s="66">
        <v>59</v>
      </c>
      <c r="B73" s="139" t="s">
        <v>666</v>
      </c>
      <c r="C73" s="138" t="s">
        <v>667</v>
      </c>
      <c r="D73" s="138" t="s">
        <v>668</v>
      </c>
      <c r="E73" s="139" t="s">
        <v>669</v>
      </c>
      <c r="F73" s="171" t="s">
        <v>670</v>
      </c>
      <c r="G73" s="138" t="s">
        <v>671</v>
      </c>
      <c r="H73" s="161" t="s">
        <v>427</v>
      </c>
    </row>
    <row r="74" spans="1:8" ht="29.25" customHeight="1" x14ac:dyDescent="0.25">
      <c r="A74" s="66">
        <v>60</v>
      </c>
      <c r="B74" s="132" t="s">
        <v>672</v>
      </c>
      <c r="C74" s="134" t="s">
        <v>673</v>
      </c>
      <c r="D74" s="143" t="s">
        <v>674</v>
      </c>
      <c r="E74" s="132" t="s">
        <v>542</v>
      </c>
      <c r="F74" s="144" t="s">
        <v>675</v>
      </c>
      <c r="G74" s="143"/>
      <c r="H74" s="143" t="s">
        <v>427</v>
      </c>
    </row>
    <row r="75" spans="1:8" ht="30" x14ac:dyDescent="0.25">
      <c r="A75" s="66">
        <v>61</v>
      </c>
      <c r="B75" s="132" t="s">
        <v>676</v>
      </c>
      <c r="C75" s="132" t="s">
        <v>677</v>
      </c>
      <c r="D75" s="134"/>
      <c r="E75" s="132"/>
      <c r="F75" s="174" t="s">
        <v>478</v>
      </c>
      <c r="G75" s="166"/>
      <c r="H75" s="166"/>
    </row>
    <row r="76" spans="1:8" ht="15" customHeight="1" x14ac:dyDescent="0.25">
      <c r="A76" s="66">
        <v>62</v>
      </c>
      <c r="B76" s="132" t="s">
        <v>678</v>
      </c>
      <c r="C76" s="134" t="s">
        <v>679</v>
      </c>
      <c r="D76" s="134"/>
      <c r="E76" s="132" t="s">
        <v>646</v>
      </c>
      <c r="F76" s="175"/>
      <c r="G76" s="143" t="s">
        <v>554</v>
      </c>
      <c r="H76" s="143" t="s">
        <v>449</v>
      </c>
    </row>
    <row r="77" spans="1:8" ht="29.25" customHeight="1" x14ac:dyDescent="0.25">
      <c r="A77" s="66">
        <v>63</v>
      </c>
      <c r="B77" s="132" t="s">
        <v>680</v>
      </c>
      <c r="C77" s="143" t="s">
        <v>681</v>
      </c>
      <c r="D77" s="134" t="s">
        <v>682</v>
      </c>
      <c r="E77" s="132" t="s">
        <v>683</v>
      </c>
      <c r="F77" s="168" t="s">
        <v>684</v>
      </c>
      <c r="G77" s="168" t="s">
        <v>685</v>
      </c>
      <c r="H77" s="143" t="s">
        <v>489</v>
      </c>
    </row>
    <row r="78" spans="1:8" ht="30" x14ac:dyDescent="0.25">
      <c r="A78" s="66">
        <v>64</v>
      </c>
      <c r="B78" s="132" t="s">
        <v>686</v>
      </c>
      <c r="C78" s="132" t="s">
        <v>687</v>
      </c>
      <c r="D78" s="134" t="s">
        <v>688</v>
      </c>
      <c r="E78" s="132"/>
      <c r="F78" s="174"/>
      <c r="G78" s="166"/>
      <c r="H78" s="166" t="s">
        <v>443</v>
      </c>
    </row>
    <row r="79" spans="1:8" ht="29.25" customHeight="1" x14ac:dyDescent="0.25">
      <c r="A79" s="66">
        <v>65</v>
      </c>
      <c r="B79" s="132" t="s">
        <v>689</v>
      </c>
      <c r="C79" s="134" t="s">
        <v>690</v>
      </c>
      <c r="D79" s="134" t="s">
        <v>691</v>
      </c>
      <c r="E79" s="132" t="s">
        <v>692</v>
      </c>
      <c r="F79" s="176"/>
      <c r="G79" s="134" t="s">
        <v>693</v>
      </c>
      <c r="H79" s="143" t="s">
        <v>427</v>
      </c>
    </row>
    <row r="80" spans="1:8" ht="45" x14ac:dyDescent="0.25">
      <c r="A80" s="66">
        <v>66</v>
      </c>
      <c r="B80" s="139" t="s">
        <v>694</v>
      </c>
      <c r="C80" s="177" t="s">
        <v>695</v>
      </c>
      <c r="D80" s="138" t="s">
        <v>696</v>
      </c>
      <c r="E80" s="139" t="s">
        <v>697</v>
      </c>
      <c r="F80" s="162"/>
      <c r="G80" s="172" t="s">
        <v>698</v>
      </c>
      <c r="H80" s="161" t="s">
        <v>443</v>
      </c>
    </row>
    <row r="81" spans="1:8" ht="29.25" customHeight="1" x14ac:dyDescent="0.25">
      <c r="A81" s="66">
        <v>67</v>
      </c>
      <c r="B81" s="139" t="s">
        <v>699</v>
      </c>
      <c r="C81" s="138" t="s">
        <v>700</v>
      </c>
      <c r="D81" s="138" t="s">
        <v>701</v>
      </c>
      <c r="E81" s="139" t="s">
        <v>702</v>
      </c>
      <c r="F81" s="171" t="s">
        <v>703</v>
      </c>
      <c r="G81" s="171" t="s">
        <v>704</v>
      </c>
      <c r="H81" s="161" t="s">
        <v>427</v>
      </c>
    </row>
    <row r="82" spans="1:8" ht="30" x14ac:dyDescent="0.25">
      <c r="A82" s="66">
        <v>68</v>
      </c>
      <c r="B82" s="139" t="s">
        <v>705</v>
      </c>
      <c r="C82" s="161" t="s">
        <v>706</v>
      </c>
      <c r="D82" s="138" t="s">
        <v>707</v>
      </c>
      <c r="E82" s="139" t="s">
        <v>708</v>
      </c>
      <c r="F82" s="178"/>
      <c r="G82" s="177"/>
      <c r="H82" s="177"/>
    </row>
    <row r="83" spans="1:8" ht="15" customHeight="1" x14ac:dyDescent="0.25">
      <c r="A83" s="66">
        <v>69</v>
      </c>
      <c r="B83" s="139"/>
      <c r="C83" s="139"/>
      <c r="D83" s="138"/>
      <c r="E83" s="139"/>
      <c r="F83" s="140"/>
      <c r="G83" s="141"/>
      <c r="H83" s="141"/>
    </row>
    <row r="84" spans="1:8" s="66" customFormat="1" ht="30" x14ac:dyDescent="0.25">
      <c r="A84" s="66">
        <v>70</v>
      </c>
      <c r="B84" s="95" t="s">
        <v>709</v>
      </c>
      <c r="C84" s="95" t="s">
        <v>710</v>
      </c>
      <c r="D84" s="104" t="s">
        <v>711</v>
      </c>
      <c r="E84" s="95" t="s">
        <v>712</v>
      </c>
      <c r="F84" s="179"/>
      <c r="G84" s="179" t="s">
        <v>713</v>
      </c>
      <c r="H84" s="180" t="s">
        <v>443</v>
      </c>
    </row>
    <row r="85" spans="1:8" s="66" customFormat="1" x14ac:dyDescent="0.25">
      <c r="A85" s="66">
        <v>71</v>
      </c>
      <c r="B85" s="113" t="s">
        <v>714</v>
      </c>
      <c r="C85" s="114" t="s">
        <v>715</v>
      </c>
      <c r="D85" s="114" t="s">
        <v>716</v>
      </c>
      <c r="E85" s="113" t="s">
        <v>717</v>
      </c>
      <c r="F85" s="130"/>
      <c r="G85" s="101"/>
      <c r="H85" s="166" t="s">
        <v>443</v>
      </c>
    </row>
    <row r="86" spans="1:8" s="66" customFormat="1" ht="45" x14ac:dyDescent="0.25">
      <c r="A86" s="66">
        <v>72</v>
      </c>
      <c r="B86" s="95" t="s">
        <v>718</v>
      </c>
      <c r="C86" s="95" t="s">
        <v>719</v>
      </c>
      <c r="D86" s="104" t="s">
        <v>720</v>
      </c>
      <c r="E86" s="95" t="s">
        <v>721</v>
      </c>
      <c r="F86" s="179"/>
      <c r="G86" s="148" t="s">
        <v>722</v>
      </c>
      <c r="H86" s="180" t="s">
        <v>443</v>
      </c>
    </row>
    <row r="87" spans="1:8" s="66" customFormat="1" ht="30" x14ac:dyDescent="0.25">
      <c r="A87" s="66">
        <v>73</v>
      </c>
      <c r="B87" s="113" t="s">
        <v>723</v>
      </c>
      <c r="C87" s="181" t="s">
        <v>724</v>
      </c>
      <c r="D87" s="114" t="s">
        <v>725</v>
      </c>
      <c r="E87" s="113" t="s">
        <v>425</v>
      </c>
      <c r="F87" s="130"/>
      <c r="G87" s="101"/>
      <c r="H87" s="114" t="s">
        <v>443</v>
      </c>
    </row>
    <row r="88" spans="1:8" s="66" customFormat="1" ht="45" x14ac:dyDescent="0.25">
      <c r="A88" s="66">
        <v>74</v>
      </c>
      <c r="B88" s="95" t="s">
        <v>726</v>
      </c>
      <c r="C88" s="95" t="s">
        <v>727</v>
      </c>
      <c r="D88" s="104" t="s">
        <v>728</v>
      </c>
      <c r="E88" s="95" t="s">
        <v>729</v>
      </c>
      <c r="F88" s="179"/>
      <c r="G88" s="148"/>
      <c r="H88" s="180" t="s">
        <v>443</v>
      </c>
    </row>
    <row r="89" spans="1:8" s="66" customFormat="1" ht="75" x14ac:dyDescent="0.25">
      <c r="A89" s="66">
        <v>75</v>
      </c>
      <c r="B89" s="113" t="s">
        <v>730</v>
      </c>
      <c r="C89" s="182" t="s">
        <v>731</v>
      </c>
      <c r="D89" s="114" t="s">
        <v>732</v>
      </c>
      <c r="E89" s="113" t="s">
        <v>733</v>
      </c>
      <c r="F89" s="130"/>
      <c r="G89" s="115" t="s">
        <v>734</v>
      </c>
      <c r="H89" s="114" t="s">
        <v>443</v>
      </c>
    </row>
    <row r="90" spans="1:8" s="66" customFormat="1" ht="30" x14ac:dyDescent="0.25">
      <c r="A90" s="66">
        <v>76</v>
      </c>
      <c r="B90" s="95" t="s">
        <v>735</v>
      </c>
      <c r="C90" s="95" t="s">
        <v>736</v>
      </c>
      <c r="D90" s="104"/>
      <c r="E90" s="95" t="s">
        <v>737</v>
      </c>
      <c r="F90" s="183" t="s">
        <v>738</v>
      </c>
      <c r="G90" s="148"/>
      <c r="H90" s="184" t="s">
        <v>443</v>
      </c>
    </row>
    <row r="91" spans="1:8" s="66" customFormat="1" ht="30" x14ac:dyDescent="0.25">
      <c r="A91" s="66">
        <v>77</v>
      </c>
      <c r="B91" s="113" t="s">
        <v>739</v>
      </c>
      <c r="C91" s="182" t="s">
        <v>740</v>
      </c>
      <c r="D91" s="114" t="s">
        <v>741</v>
      </c>
      <c r="E91" s="113" t="s">
        <v>737</v>
      </c>
      <c r="F91" s="185" t="s">
        <v>742</v>
      </c>
      <c r="G91" s="115" t="s">
        <v>743</v>
      </c>
      <c r="H91" s="114" t="s">
        <v>443</v>
      </c>
    </row>
    <row r="92" spans="1:8" s="66" customFormat="1" ht="45" x14ac:dyDescent="0.25">
      <c r="A92" s="66">
        <v>78</v>
      </c>
      <c r="B92" s="95" t="s">
        <v>744</v>
      </c>
      <c r="C92" s="95" t="s">
        <v>745</v>
      </c>
      <c r="D92" s="104" t="s">
        <v>746</v>
      </c>
      <c r="E92" s="95" t="s">
        <v>425</v>
      </c>
      <c r="F92" s="186"/>
      <c r="G92" s="148"/>
      <c r="H92" s="184" t="s">
        <v>443</v>
      </c>
    </row>
    <row r="93" spans="1:8" s="66" customFormat="1" ht="30" x14ac:dyDescent="0.25">
      <c r="A93" s="66">
        <v>79</v>
      </c>
      <c r="B93" s="113" t="s">
        <v>747</v>
      </c>
      <c r="C93" s="182" t="s">
        <v>748</v>
      </c>
      <c r="D93" s="114"/>
      <c r="E93" s="113" t="s">
        <v>542</v>
      </c>
      <c r="F93" s="185"/>
      <c r="G93" s="115"/>
      <c r="H93" s="114"/>
    </row>
    <row r="94" spans="1:8" s="66" customFormat="1" ht="45" x14ac:dyDescent="0.25">
      <c r="A94" s="66">
        <v>80</v>
      </c>
      <c r="B94" s="95" t="s">
        <v>749</v>
      </c>
      <c r="C94" s="95" t="s">
        <v>750</v>
      </c>
      <c r="D94" s="104" t="s">
        <v>751</v>
      </c>
      <c r="E94" s="95" t="s">
        <v>752</v>
      </c>
      <c r="F94" s="187" t="s">
        <v>753</v>
      </c>
      <c r="G94" s="148" t="s">
        <v>754</v>
      </c>
      <c r="H94" s="184" t="s">
        <v>443</v>
      </c>
    </row>
    <row r="95" spans="1:8" s="66" customFormat="1" ht="30" x14ac:dyDescent="0.25">
      <c r="A95" s="66">
        <v>81</v>
      </c>
      <c r="B95" s="113" t="s">
        <v>755</v>
      </c>
      <c r="C95" s="182" t="s">
        <v>756</v>
      </c>
      <c r="D95" s="114" t="s">
        <v>757</v>
      </c>
      <c r="E95" s="113" t="s">
        <v>737</v>
      </c>
      <c r="F95" s="185" t="s">
        <v>758</v>
      </c>
      <c r="G95" s="115" t="s">
        <v>759</v>
      </c>
      <c r="H95" s="114"/>
    </row>
    <row r="96" spans="1:8" s="66" customFormat="1" ht="30" x14ac:dyDescent="0.25">
      <c r="A96" s="66">
        <v>82</v>
      </c>
      <c r="B96" s="95" t="s">
        <v>760</v>
      </c>
      <c r="C96" s="95" t="s">
        <v>761</v>
      </c>
      <c r="D96" s="104" t="s">
        <v>762</v>
      </c>
      <c r="E96" s="95" t="s">
        <v>763</v>
      </c>
      <c r="F96" s="187"/>
      <c r="G96" s="148"/>
      <c r="H96" s="184" t="s">
        <v>443</v>
      </c>
    </row>
    <row r="97" spans="1:8" s="66" customFormat="1" ht="30" x14ac:dyDescent="0.25">
      <c r="A97" s="66">
        <v>83</v>
      </c>
      <c r="B97" s="113" t="s">
        <v>764</v>
      </c>
      <c r="C97" s="182" t="s">
        <v>765</v>
      </c>
      <c r="D97" s="114" t="s">
        <v>766</v>
      </c>
      <c r="E97" s="113" t="s">
        <v>767</v>
      </c>
      <c r="F97" s="185"/>
      <c r="G97" s="115"/>
      <c r="H97" s="114"/>
    </row>
    <row r="98" spans="1:8" s="66" customFormat="1" x14ac:dyDescent="0.25">
      <c r="A98" s="66">
        <v>84</v>
      </c>
      <c r="B98" s="95" t="s">
        <v>768</v>
      </c>
      <c r="C98" s="95" t="s">
        <v>769</v>
      </c>
      <c r="D98" s="104" t="s">
        <v>770</v>
      </c>
      <c r="E98" s="95" t="s">
        <v>767</v>
      </c>
      <c r="F98" s="187"/>
      <c r="G98" s="148"/>
      <c r="H98" s="184"/>
    </row>
    <row r="99" spans="1:8" s="66" customFormat="1" x14ac:dyDescent="0.25">
      <c r="A99" s="66">
        <v>85</v>
      </c>
      <c r="B99" s="113" t="s">
        <v>771</v>
      </c>
      <c r="C99" s="182" t="s">
        <v>772</v>
      </c>
      <c r="D99" s="114" t="s">
        <v>773</v>
      </c>
      <c r="E99" s="113" t="s">
        <v>767</v>
      </c>
      <c r="F99" s="185"/>
      <c r="G99" s="115"/>
      <c r="H99" s="114"/>
    </row>
    <row r="100" spans="1:8" s="66" customFormat="1" ht="45" x14ac:dyDescent="0.25">
      <c r="A100" s="66">
        <v>86</v>
      </c>
      <c r="B100" s="95" t="s">
        <v>774</v>
      </c>
      <c r="C100" s="95" t="s">
        <v>775</v>
      </c>
      <c r="D100" s="104" t="s">
        <v>776</v>
      </c>
      <c r="E100" s="95" t="s">
        <v>777</v>
      </c>
      <c r="F100" s="187"/>
      <c r="G100" s="148" t="s">
        <v>778</v>
      </c>
      <c r="H100" s="184"/>
    </row>
    <row r="101" spans="1:8" s="66" customFormat="1" ht="30" x14ac:dyDescent="0.25">
      <c r="A101" s="66">
        <v>87</v>
      </c>
      <c r="B101" s="113" t="s">
        <v>779</v>
      </c>
      <c r="C101" s="182" t="s">
        <v>780</v>
      </c>
      <c r="D101" s="114"/>
      <c r="E101" s="113" t="s">
        <v>453</v>
      </c>
      <c r="F101" s="185"/>
      <c r="G101" s="115"/>
      <c r="H101" s="114"/>
    </row>
    <row r="102" spans="1:8" s="66" customFormat="1" ht="30" x14ac:dyDescent="0.25">
      <c r="A102" s="66">
        <v>88</v>
      </c>
      <c r="B102" s="95" t="s">
        <v>781</v>
      </c>
      <c r="C102" s="95" t="s">
        <v>782</v>
      </c>
      <c r="D102" s="104" t="s">
        <v>783</v>
      </c>
      <c r="E102" s="95" t="s">
        <v>784</v>
      </c>
      <c r="F102" s="187" t="s">
        <v>785</v>
      </c>
      <c r="G102" s="148"/>
      <c r="H102" s="184" t="s">
        <v>443</v>
      </c>
    </row>
    <row r="103" spans="1:8" s="66" customFormat="1" x14ac:dyDescent="0.25">
      <c r="A103" s="66">
        <v>89</v>
      </c>
      <c r="B103" s="113" t="s">
        <v>786</v>
      </c>
      <c r="C103" s="182" t="s">
        <v>787</v>
      </c>
      <c r="D103" s="114"/>
      <c r="E103" s="113"/>
      <c r="F103" s="185"/>
      <c r="G103" s="115"/>
      <c r="H103" s="114"/>
    </row>
    <row r="104" spans="1:8" s="66" customFormat="1" ht="30" x14ac:dyDescent="0.25">
      <c r="A104" s="66">
        <v>90</v>
      </c>
      <c r="B104" s="95" t="s">
        <v>788</v>
      </c>
      <c r="C104" s="95" t="s">
        <v>789</v>
      </c>
      <c r="D104" s="104" t="s">
        <v>790</v>
      </c>
      <c r="E104" s="95" t="s">
        <v>791</v>
      </c>
      <c r="F104" s="187"/>
      <c r="G104" s="148"/>
      <c r="H104" s="184"/>
    </row>
    <row r="105" spans="1:8" s="66" customFormat="1" ht="30" x14ac:dyDescent="0.25">
      <c r="A105" s="66">
        <v>91</v>
      </c>
      <c r="B105" s="113" t="s">
        <v>792</v>
      </c>
      <c r="C105" s="182" t="s">
        <v>793</v>
      </c>
      <c r="D105" s="114"/>
      <c r="E105" s="113" t="s">
        <v>794</v>
      </c>
      <c r="F105" s="185"/>
      <c r="G105" s="115" t="s">
        <v>795</v>
      </c>
      <c r="H105" s="114"/>
    </row>
    <row r="106" spans="1:8" s="66" customFormat="1" ht="30" x14ac:dyDescent="0.25">
      <c r="A106" s="66">
        <v>92</v>
      </c>
      <c r="B106" s="95" t="s">
        <v>796</v>
      </c>
      <c r="C106" s="95" t="s">
        <v>797</v>
      </c>
      <c r="D106" s="104" t="s">
        <v>798</v>
      </c>
      <c r="E106" s="95" t="s">
        <v>752</v>
      </c>
      <c r="F106" s="187"/>
      <c r="G106" s="148" t="s">
        <v>799</v>
      </c>
      <c r="H106" s="184" t="s">
        <v>443</v>
      </c>
    </row>
    <row r="107" spans="1:8" s="66" customFormat="1" ht="30" x14ac:dyDescent="0.25">
      <c r="A107" s="66">
        <v>93</v>
      </c>
      <c r="B107" s="113" t="s">
        <v>800</v>
      </c>
      <c r="C107" s="182" t="s">
        <v>801</v>
      </c>
      <c r="D107" s="114" t="s">
        <v>802</v>
      </c>
      <c r="E107" s="113" t="s">
        <v>803</v>
      </c>
      <c r="F107" s="185"/>
      <c r="G107" s="115" t="s">
        <v>804</v>
      </c>
      <c r="H107" s="114"/>
    </row>
    <row r="108" spans="1:8" s="66" customFormat="1" x14ac:dyDescent="0.25">
      <c r="B108" s="95" t="s">
        <v>805</v>
      </c>
      <c r="C108" s="95" t="s">
        <v>806</v>
      </c>
      <c r="D108" s="104" t="s">
        <v>807</v>
      </c>
      <c r="E108" s="95" t="s">
        <v>803</v>
      </c>
      <c r="F108" s="187"/>
      <c r="G108" s="148" t="s">
        <v>808</v>
      </c>
      <c r="H108" s="184"/>
    </row>
    <row r="109" spans="1:8" s="66" customFormat="1" ht="30" x14ac:dyDescent="0.25">
      <c r="A109" s="66">
        <v>95</v>
      </c>
      <c r="B109" s="113" t="s">
        <v>809</v>
      </c>
      <c r="C109" s="182" t="s">
        <v>810</v>
      </c>
      <c r="D109" s="114" t="s">
        <v>811</v>
      </c>
      <c r="E109" s="113" t="s">
        <v>812</v>
      </c>
      <c r="F109" s="185"/>
      <c r="G109" s="115" t="s">
        <v>813</v>
      </c>
      <c r="H109" s="114"/>
    </row>
    <row r="110" spans="1:8" s="66" customFormat="1" ht="30" x14ac:dyDescent="0.25">
      <c r="A110" s="66">
        <v>96</v>
      </c>
      <c r="B110" s="95" t="s">
        <v>814</v>
      </c>
      <c r="C110" s="95" t="s">
        <v>815</v>
      </c>
      <c r="D110" s="104" t="s">
        <v>762</v>
      </c>
      <c r="E110" s="95" t="s">
        <v>803</v>
      </c>
      <c r="F110" s="187"/>
      <c r="G110" s="148" t="s">
        <v>816</v>
      </c>
      <c r="H110" s="184" t="s">
        <v>443</v>
      </c>
    </row>
    <row r="111" spans="1:8" s="66" customFormat="1" x14ac:dyDescent="0.25">
      <c r="A111" s="66">
        <v>97</v>
      </c>
      <c r="B111" s="113" t="s">
        <v>817</v>
      </c>
      <c r="C111" s="182" t="s">
        <v>818</v>
      </c>
      <c r="D111" s="114"/>
      <c r="E111" s="113" t="s">
        <v>803</v>
      </c>
      <c r="F111" s="185"/>
      <c r="G111" s="115" t="s">
        <v>819</v>
      </c>
      <c r="H111" s="114"/>
    </row>
    <row r="112" spans="1:8" s="66" customFormat="1" ht="30" x14ac:dyDescent="0.25">
      <c r="A112" s="66">
        <v>98</v>
      </c>
      <c r="B112" s="95" t="s">
        <v>820</v>
      </c>
      <c r="C112" s="95" t="s">
        <v>821</v>
      </c>
      <c r="D112" s="104" t="s">
        <v>822</v>
      </c>
      <c r="E112" s="95" t="s">
        <v>803</v>
      </c>
      <c r="F112" s="187"/>
      <c r="G112" s="148" t="s">
        <v>823</v>
      </c>
      <c r="H112" s="184"/>
    </row>
    <row r="113" spans="1:8" s="66" customFormat="1" ht="30" x14ac:dyDescent="0.25">
      <c r="A113" s="66">
        <v>99</v>
      </c>
      <c r="B113" s="113" t="s">
        <v>824</v>
      </c>
      <c r="C113" s="182" t="s">
        <v>825</v>
      </c>
      <c r="D113" s="114" t="s">
        <v>826</v>
      </c>
      <c r="E113" s="113"/>
      <c r="F113" s="185"/>
      <c r="G113" s="115" t="s">
        <v>827</v>
      </c>
      <c r="H113" s="114" t="s">
        <v>443</v>
      </c>
    </row>
    <row r="114" spans="1:8" s="66" customFormat="1" ht="30" x14ac:dyDescent="0.25">
      <c r="A114" s="66">
        <v>100</v>
      </c>
      <c r="B114" s="95" t="s">
        <v>828</v>
      </c>
      <c r="C114" s="95" t="s">
        <v>829</v>
      </c>
      <c r="D114" s="104" t="s">
        <v>830</v>
      </c>
      <c r="E114" s="95" t="s">
        <v>831</v>
      </c>
      <c r="F114" s="187"/>
      <c r="G114" s="148" t="s">
        <v>832</v>
      </c>
      <c r="H114" s="184" t="s">
        <v>489</v>
      </c>
    </row>
    <row r="115" spans="1:8" s="66" customFormat="1" ht="30" x14ac:dyDescent="0.25">
      <c r="A115" s="66">
        <v>101</v>
      </c>
      <c r="B115" s="113" t="s">
        <v>833</v>
      </c>
      <c r="C115" s="182" t="s">
        <v>834</v>
      </c>
      <c r="D115" s="114" t="s">
        <v>835</v>
      </c>
      <c r="E115" s="158" t="s">
        <v>836</v>
      </c>
      <c r="F115" s="185"/>
      <c r="G115" s="115"/>
      <c r="H115" s="114" t="s">
        <v>443</v>
      </c>
    </row>
    <row r="116" spans="1:8" s="66" customFormat="1" ht="30" x14ac:dyDescent="0.25">
      <c r="A116" s="66">
        <v>102</v>
      </c>
      <c r="B116" s="95" t="s">
        <v>837</v>
      </c>
      <c r="C116" s="95" t="s">
        <v>838</v>
      </c>
      <c r="D116" s="104"/>
      <c r="E116" s="95"/>
      <c r="F116" s="187"/>
      <c r="G116" s="148" t="s">
        <v>839</v>
      </c>
      <c r="H116" s="184"/>
    </row>
    <row r="117" spans="1:8" s="66" customFormat="1" ht="45" x14ac:dyDescent="0.25">
      <c r="A117" s="66">
        <v>103</v>
      </c>
      <c r="B117" s="113" t="s">
        <v>840</v>
      </c>
      <c r="C117" s="182" t="s">
        <v>841</v>
      </c>
      <c r="D117" s="114" t="s">
        <v>842</v>
      </c>
      <c r="E117" s="113" t="s">
        <v>791</v>
      </c>
      <c r="F117" s="185"/>
      <c r="G117" s="115" t="s">
        <v>843</v>
      </c>
      <c r="H117" s="114" t="s">
        <v>443</v>
      </c>
    </row>
    <row r="118" spans="1:8" s="66" customFormat="1" ht="30" x14ac:dyDescent="0.25">
      <c r="A118" s="66">
        <v>104</v>
      </c>
      <c r="B118" s="95" t="s">
        <v>844</v>
      </c>
      <c r="C118" s="95" t="s">
        <v>845</v>
      </c>
      <c r="D118" s="104" t="s">
        <v>846</v>
      </c>
      <c r="E118" s="95" t="s">
        <v>777</v>
      </c>
      <c r="F118" s="187"/>
      <c r="G118" s="148" t="s">
        <v>847</v>
      </c>
      <c r="H118" s="184" t="s">
        <v>443</v>
      </c>
    </row>
    <row r="119" spans="1:8" s="66" customFormat="1" x14ac:dyDescent="0.25">
      <c r="A119" s="66">
        <v>105</v>
      </c>
      <c r="B119" s="113" t="s">
        <v>844</v>
      </c>
      <c r="C119" s="182" t="s">
        <v>848</v>
      </c>
      <c r="D119" s="114" t="s">
        <v>430</v>
      </c>
      <c r="E119" s="113" t="s">
        <v>849</v>
      </c>
      <c r="F119" s="185"/>
      <c r="G119" s="115" t="s">
        <v>850</v>
      </c>
      <c r="H119" s="114" t="s">
        <v>443</v>
      </c>
    </row>
    <row r="120" spans="1:8" s="66" customFormat="1" ht="30" x14ac:dyDescent="0.25">
      <c r="A120" s="66">
        <v>106</v>
      </c>
      <c r="B120" s="95" t="s">
        <v>851</v>
      </c>
      <c r="C120" s="95" t="s">
        <v>852</v>
      </c>
      <c r="D120" s="104" t="s">
        <v>853</v>
      </c>
      <c r="E120" s="95" t="s">
        <v>854</v>
      </c>
      <c r="F120" s="187"/>
      <c r="G120" s="148" t="s">
        <v>855</v>
      </c>
      <c r="H120" s="184"/>
    </row>
    <row r="121" spans="1:8" s="66" customFormat="1" x14ac:dyDescent="0.25">
      <c r="A121" s="66">
        <v>107</v>
      </c>
      <c r="B121" s="113" t="s">
        <v>856</v>
      </c>
      <c r="C121" s="182"/>
      <c r="D121" s="114"/>
      <c r="E121" s="113"/>
      <c r="F121" s="185"/>
      <c r="G121" s="115"/>
      <c r="H121" s="114"/>
    </row>
    <row r="122" spans="1:8" s="66" customFormat="1" ht="30" x14ac:dyDescent="0.25">
      <c r="A122" s="66">
        <v>108</v>
      </c>
      <c r="B122" s="95" t="s">
        <v>857</v>
      </c>
      <c r="C122" s="95" t="s">
        <v>858</v>
      </c>
      <c r="D122" s="104" t="s">
        <v>859</v>
      </c>
      <c r="E122" s="95" t="s">
        <v>860</v>
      </c>
      <c r="F122" s="187"/>
      <c r="G122" s="148" t="s">
        <v>861</v>
      </c>
      <c r="H122" s="184" t="s">
        <v>443</v>
      </c>
    </row>
    <row r="123" spans="1:8" s="66" customFormat="1" ht="30" x14ac:dyDescent="0.25">
      <c r="A123" s="66">
        <v>109</v>
      </c>
      <c r="B123" s="113" t="s">
        <v>862</v>
      </c>
      <c r="C123" s="182" t="s">
        <v>863</v>
      </c>
      <c r="D123" s="114"/>
      <c r="E123" s="113"/>
      <c r="F123" s="185"/>
      <c r="G123" s="115"/>
      <c r="H123" s="114"/>
    </row>
    <row r="124" spans="1:8" s="66" customFormat="1" ht="30" x14ac:dyDescent="0.25">
      <c r="A124" s="66">
        <v>110</v>
      </c>
      <c r="B124" s="95" t="s">
        <v>864</v>
      </c>
      <c r="C124" s="188" t="s">
        <v>865</v>
      </c>
      <c r="D124" s="104"/>
      <c r="E124" s="95"/>
      <c r="F124" s="187"/>
      <c r="G124" s="148"/>
      <c r="H124" s="184"/>
    </row>
    <row r="125" spans="1:8" s="66" customFormat="1" ht="30" x14ac:dyDescent="0.25">
      <c r="A125" s="66">
        <v>111</v>
      </c>
      <c r="B125" s="113" t="s">
        <v>866</v>
      </c>
      <c r="C125" s="182" t="s">
        <v>651</v>
      </c>
      <c r="D125" s="114"/>
      <c r="E125" s="113"/>
      <c r="F125" s="185"/>
      <c r="G125" s="115"/>
      <c r="H125" s="114"/>
    </row>
    <row r="126" spans="1:8" s="66" customFormat="1" ht="30" x14ac:dyDescent="0.25">
      <c r="A126" s="66">
        <v>112</v>
      </c>
      <c r="B126" s="95" t="s">
        <v>867</v>
      </c>
      <c r="C126" s="95" t="s">
        <v>868</v>
      </c>
      <c r="D126" s="104"/>
      <c r="E126" s="95"/>
      <c r="F126" s="187"/>
      <c r="G126" s="148"/>
      <c r="H126" s="184"/>
    </row>
    <row r="127" spans="1:8" s="66" customFormat="1" ht="30" x14ac:dyDescent="0.25">
      <c r="A127" s="66">
        <v>113</v>
      </c>
      <c r="B127" s="113" t="s">
        <v>869</v>
      </c>
      <c r="C127" s="182" t="s">
        <v>848</v>
      </c>
      <c r="D127" s="114"/>
      <c r="E127" s="113"/>
      <c r="F127" s="185"/>
      <c r="G127" s="115"/>
      <c r="H127" s="114"/>
    </row>
    <row r="128" spans="1:8" s="66" customFormat="1" ht="30" x14ac:dyDescent="0.25">
      <c r="A128" s="66">
        <v>114</v>
      </c>
      <c r="B128" s="95" t="s">
        <v>870</v>
      </c>
      <c r="C128" s="95" t="s">
        <v>871</v>
      </c>
      <c r="D128" s="104"/>
      <c r="E128" s="95"/>
      <c r="F128" s="187"/>
      <c r="G128" s="148"/>
      <c r="H128" s="184"/>
    </row>
    <row r="129" spans="1:8" s="66" customFormat="1" x14ac:dyDescent="0.25">
      <c r="A129" s="66">
        <v>115</v>
      </c>
      <c r="B129" s="113" t="s">
        <v>872</v>
      </c>
      <c r="C129" s="182" t="s">
        <v>873</v>
      </c>
      <c r="D129" s="114"/>
      <c r="E129" s="113" t="s">
        <v>874</v>
      </c>
      <c r="F129" s="185"/>
      <c r="G129" s="115"/>
      <c r="H129" s="114"/>
    </row>
    <row r="130" spans="1:8" s="66" customFormat="1" ht="30" x14ac:dyDescent="0.25">
      <c r="A130" s="66">
        <v>116</v>
      </c>
      <c r="B130" s="95" t="s">
        <v>875</v>
      </c>
      <c r="C130" s="95" t="s">
        <v>863</v>
      </c>
      <c r="D130" s="104"/>
      <c r="E130" s="95"/>
      <c r="F130" s="187"/>
      <c r="G130" s="148"/>
      <c r="H130" s="184"/>
    </row>
    <row r="131" spans="1:8" s="66" customFormat="1" ht="30" x14ac:dyDescent="0.25">
      <c r="A131" s="66">
        <v>117</v>
      </c>
      <c r="B131" s="95" t="s">
        <v>876</v>
      </c>
      <c r="C131" s="189"/>
      <c r="D131" s="104"/>
      <c r="E131" s="95"/>
      <c r="F131" s="187"/>
      <c r="G131" s="148"/>
      <c r="H131" s="184"/>
    </row>
    <row r="132" spans="1:8" s="66" customFormat="1" x14ac:dyDescent="0.25">
      <c r="A132" s="66">
        <v>118</v>
      </c>
      <c r="B132" s="95" t="s">
        <v>877</v>
      </c>
      <c r="C132" s="189" t="s">
        <v>878</v>
      </c>
      <c r="D132" s="104"/>
      <c r="E132" s="95"/>
      <c r="F132" s="187"/>
      <c r="G132" s="148"/>
      <c r="H132" s="184"/>
    </row>
    <row r="133" spans="1:8" s="66" customFormat="1" ht="30" x14ac:dyDescent="0.25">
      <c r="A133" s="66">
        <v>119</v>
      </c>
      <c r="B133" s="95" t="s">
        <v>879</v>
      </c>
      <c r="C133" s="189" t="s">
        <v>880</v>
      </c>
      <c r="D133" s="104"/>
      <c r="E133" s="95"/>
      <c r="F133" s="187"/>
      <c r="G133" s="148"/>
      <c r="H133" s="184"/>
    </row>
    <row r="134" spans="1:8" s="66" customFormat="1" ht="30" x14ac:dyDescent="0.25">
      <c r="A134" s="66">
        <v>120</v>
      </c>
      <c r="B134" s="95" t="s">
        <v>881</v>
      </c>
      <c r="C134" s="189"/>
      <c r="D134" s="104"/>
      <c r="E134" s="95"/>
      <c r="F134" s="187"/>
      <c r="G134" s="148"/>
      <c r="H134" s="184"/>
    </row>
    <row r="135" spans="1:8" s="66" customFormat="1" ht="30" x14ac:dyDescent="0.25">
      <c r="A135" s="66">
        <v>121</v>
      </c>
      <c r="B135" s="95" t="s">
        <v>882</v>
      </c>
      <c r="C135" s="189" t="s">
        <v>883</v>
      </c>
      <c r="D135" s="104"/>
      <c r="E135" s="95"/>
      <c r="F135" s="187"/>
      <c r="G135" s="148"/>
      <c r="H135" s="184"/>
    </row>
    <row r="136" spans="1:8" s="66" customFormat="1" x14ac:dyDescent="0.25">
      <c r="B136" s="113"/>
      <c r="C136" s="182"/>
      <c r="D136" s="114"/>
      <c r="E136" s="113"/>
      <c r="F136" s="185"/>
      <c r="G136" s="115"/>
      <c r="H136" s="114"/>
    </row>
    <row r="137" spans="1:8" ht="26.25" customHeight="1" x14ac:dyDescent="0.25">
      <c r="B137" s="190"/>
    </row>
  </sheetData>
  <mergeCells count="1">
    <mergeCell ref="B11:F11"/>
  </mergeCells>
  <hyperlinks>
    <hyperlink ref="F48" r:id="rId1" xr:uid="{B9FD1247-71E2-4A8F-834D-AD8EAC8D2A93}"/>
    <hyperlink ref="F45" r:id="rId2" xr:uid="{CC34D78F-497D-44D7-9E07-FD6631C0DCD7}"/>
    <hyperlink ref="F73" r:id="rId3" xr:uid="{1C03B793-543D-4D54-A5A5-7ADE1AF216A2}"/>
    <hyperlink ref="F42" r:id="rId4" xr:uid="{1DE84ABF-B55D-43D0-B444-83889A5FF523}"/>
    <hyperlink ref="B8" r:id="rId5" xr:uid="{2498A653-4BA3-4088-8F1C-AC3D94F93574}"/>
    <hyperlink ref="B9" r:id="rId6" xr:uid="{34E5A196-69A7-491C-890A-7AE02540EA9D}"/>
    <hyperlink ref="G42" r:id="rId7" xr:uid="{2F76E6BC-75E7-4A69-985B-90DB40520BF1}"/>
    <hyperlink ref="F69" r:id="rId8" display="mailto:aureo.reidooleo@uol.com.br" xr:uid="{7218A2AD-59F3-4CAD-B46A-C3B3B2BAAE62}"/>
    <hyperlink ref="G30" r:id="rId9" xr:uid="{0FFF114D-FBC4-4AAE-B193-123F06961BFC}"/>
    <hyperlink ref="F15" r:id="rId10" xr:uid="{1CA9EBA4-689E-4598-B27A-03172C9C5B39}"/>
    <hyperlink ref="F71" r:id="rId11" xr:uid="{B8B66F01-852F-46C9-9B50-29FEC9B71382}"/>
    <hyperlink ref="G60" r:id="rId12" xr:uid="{73041B5B-C6E6-4B50-885C-92B5A60C43F1}"/>
    <hyperlink ref="F14" r:id="rId13" xr:uid="{99892B68-7BF7-4812-878C-D380680434A6}"/>
    <hyperlink ref="G53" r:id="rId14" xr:uid="{ED0740FC-9A54-4819-AF96-5E6363B1C344}"/>
    <hyperlink ref="G61" r:id="rId15" xr:uid="{2810FDBF-F98C-4F80-96EA-2018822825A9}"/>
    <hyperlink ref="F61" r:id="rId16" xr:uid="{66B57630-24D7-4C20-B4A8-DDC894212249}"/>
    <hyperlink ref="G49" r:id="rId17" xr:uid="{35A80133-83AA-4759-872B-2F636C771091}"/>
    <hyperlink ref="G50" r:id="rId18" xr:uid="{1F339EAA-EA5D-4B3E-AE25-E855BD44F6CB}"/>
    <hyperlink ref="F40" r:id="rId19" xr:uid="{9917EEBA-6628-4AE0-B296-C3E871CA1D48}"/>
    <hyperlink ref="G40" r:id="rId20" xr:uid="{BE5D8DDE-1819-4E0E-B775-252356F5467F}"/>
    <hyperlink ref="F21" r:id="rId21" xr:uid="{6938A451-00AF-46B9-8B5E-F51C5465593F}"/>
    <hyperlink ref="G21" r:id="rId22" xr:uid="{DC6AEE3D-82E0-4A52-8F97-45FBC4148B47}"/>
    <hyperlink ref="F77" r:id="rId23" xr:uid="{4E05E8C0-649F-4367-BE07-AF40E6829550}"/>
    <hyperlink ref="G77" r:id="rId24" xr:uid="{25B96E18-A9E8-4638-851E-90ADE395C2AE}"/>
    <hyperlink ref="F28" r:id="rId25" xr:uid="{ACE29113-6AC9-4ED5-BB18-5937E09C3758}"/>
    <hyperlink ref="G28" r:id="rId26" xr:uid="{52EAE6AB-5691-4470-AC82-CC92D38EB42E}"/>
    <hyperlink ref="F58" r:id="rId27" xr:uid="{457D9430-2D29-4889-A820-B1682BEE4D39}"/>
    <hyperlink ref="G58" r:id="rId28" xr:uid="{52875D2A-2953-4542-A43B-E0BEEE3A3D65}"/>
    <hyperlink ref="G81" r:id="rId29" xr:uid="{6F7BB75E-3633-4BEF-B869-47311C1408B7}"/>
    <hyperlink ref="G47" r:id="rId30" xr:uid="{BF88BC63-62BD-4B95-B2AC-0BD694602091}"/>
    <hyperlink ref="G22" r:id="rId31" xr:uid="{78FB028E-FFEE-4D75-A657-CCF13964B909}"/>
    <hyperlink ref="G16" r:id="rId32" xr:uid="{1B71AA7E-F187-48E9-A4A9-EE6D95511E5F}"/>
    <hyperlink ref="G27" r:id="rId33" xr:uid="{6862CB40-9006-49A5-8F11-E4D1B4D268A9}"/>
    <hyperlink ref="G59" r:id="rId34" xr:uid="{889CECEE-4E91-4BDA-B5E0-3598CACC831F}"/>
    <hyperlink ref="G84" r:id="rId35" xr:uid="{13262D77-E361-4400-A4F1-2A84AEDF95F4}"/>
    <hyperlink ref="G86" r:id="rId36" xr:uid="{3F418B4E-D1AD-49D6-B98F-5C865796F14D}"/>
    <hyperlink ref="G89" r:id="rId37" xr:uid="{DD48AEB2-6B76-42EF-AB77-8E17F50F22EE}"/>
    <hyperlink ref="F90" r:id="rId38" display="http://www.eletropar.net/WebSite/index.php" xr:uid="{C278FBE5-BF18-4863-A4A3-2826950E4C82}"/>
    <hyperlink ref="F91" r:id="rId39" xr:uid="{3DDCB392-DEAD-49CE-A298-CF0FEF4FE573}"/>
    <hyperlink ref="G91" r:id="rId40" xr:uid="{B3D17C98-470E-4FA8-8F2E-D6B0FF285AD6}"/>
    <hyperlink ref="F94" r:id="rId41" xr:uid="{78AFB78F-19C8-4871-B479-81270E60C29C}"/>
    <hyperlink ref="G94" r:id="rId42" xr:uid="{3168BE1D-FD7B-4A21-BA55-D33DF3C7B997}"/>
    <hyperlink ref="G95" r:id="rId43" xr:uid="{A9F4DED4-C035-4AA5-AD6C-B318AED63308}"/>
    <hyperlink ref="F95" r:id="rId44" xr:uid="{883FE303-DF5A-4116-9F15-7C06E56E1645}"/>
    <hyperlink ref="G100" r:id="rId45" xr:uid="{15874989-40A2-47F2-9C36-03A3E04F453B}"/>
    <hyperlink ref="F102" r:id="rId46" xr:uid="{B10A2DFC-E6AE-47E2-B48B-82D758A90D79}"/>
    <hyperlink ref="G105" r:id="rId47" xr:uid="{DEFDDEC1-07AF-4EA3-871D-4A94038185B3}"/>
    <hyperlink ref="G106" r:id="rId48" xr:uid="{2A768D67-A482-4FF8-9701-06DF3A363937}"/>
    <hyperlink ref="G107" r:id="rId49" xr:uid="{4218367F-F910-475B-B052-1A061EB55691}"/>
    <hyperlink ref="G108" r:id="rId50" xr:uid="{36F14296-AFF8-415C-888F-C918DF6C3F9F}"/>
    <hyperlink ref="G109" r:id="rId51" xr:uid="{8236A19A-2482-4810-A9DE-EBBAFD9F721A}"/>
    <hyperlink ref="G110" r:id="rId52" xr:uid="{F48E357A-84CB-4FBB-92DF-29E0E66B7A1F}"/>
    <hyperlink ref="G111" r:id="rId53" xr:uid="{49932FE6-D16E-4E36-9CAC-BF907BB4F287}"/>
    <hyperlink ref="G112" r:id="rId54" xr:uid="{6255A9B3-3347-4BD0-8EB2-3B8620B31320}"/>
    <hyperlink ref="G113" r:id="rId55" xr:uid="{4FA91C1C-0D9B-48F8-B9C8-1312ED7978BC}"/>
    <hyperlink ref="G114" r:id="rId56" xr:uid="{582AF753-9607-4006-9FC5-002345860095}"/>
    <hyperlink ref="F64" r:id="rId57" xr:uid="{12C98801-F86D-40E7-A725-BD76E67BB79B}"/>
    <hyperlink ref="G71" r:id="rId58" xr:uid="{8A75CCF1-7D66-40EC-9CFD-C8CC72697C17}"/>
    <hyperlink ref="G32" r:id="rId59" xr:uid="{825FA50F-C384-472D-B0F6-B5F8FF1F363C}"/>
    <hyperlink ref="G116" r:id="rId60" xr:uid="{86BAD91D-CC44-4076-9A4A-48448FF71B27}"/>
    <hyperlink ref="G117" r:id="rId61" xr:uid="{F35FAFE1-4B6A-44BC-9188-9650B6ECB446}"/>
    <hyperlink ref="G118" r:id="rId62" xr:uid="{296F0D07-FB76-4D37-9188-0B262868A25C}"/>
    <hyperlink ref="G119" r:id="rId63" xr:uid="{B5215617-BAEB-43D1-829D-C281093DC966}"/>
    <hyperlink ref="G120" r:id="rId64" xr:uid="{5C479BBD-AECF-45D1-BFC8-3ED926A0CAC9}"/>
    <hyperlink ref="G122" r:id="rId65" display="rafael@platobus.com.br" xr:uid="{C133430B-B9E7-4B3E-816D-1DB180798DAB}"/>
    <hyperlink ref="G56" r:id="rId66" xr:uid="{64F62FEC-2977-49AC-B35F-6612905D89EE}"/>
    <hyperlink ref="F18" r:id="rId67" xr:uid="{49EED244-6F8B-4135-8857-2AA44BE4BD5E}"/>
    <hyperlink ref="G34" r:id="rId68" xr:uid="{21CB30E2-49B1-4F72-A2E2-191C38F25ED0}"/>
    <hyperlink ref="G80" r:id="rId69" xr:uid="{815BB6A8-96CA-4BD1-B7A8-7BC2EE392812}"/>
    <hyperlink ref="G72" r:id="rId70" xr:uid="{138C0914-0F95-458E-B46A-AF97549436F2}"/>
    <hyperlink ref="C124" r:id="rId71" display="tel: +55 11 2409-5646" xr:uid="{D263F456-F35F-4EF9-A2B3-492827581AA5}"/>
  </hyperlinks>
  <pageMargins left="0.511811024" right="0.511811024" top="0.78740157499999996" bottom="0.78740157499999996" header="0.31496062000000002" footer="0.31496062000000002"/>
  <drawing r:id="rId72"/>
  <tableParts count="1">
    <tablePart r:id="rId7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B4"/>
  <sheetViews>
    <sheetView zoomScaleSheetLayoutView="100" workbookViewId="0">
      <selection activeCell="B3" sqref="B3:B4"/>
    </sheetView>
  </sheetViews>
  <sheetFormatPr defaultColWidth="9" defaultRowHeight="15" x14ac:dyDescent="0.25"/>
  <sheetData>
    <row r="3" spans="1:2" x14ac:dyDescent="0.25">
      <c r="A3" s="2" t="s">
        <v>11</v>
      </c>
      <c r="B3" s="2" t="s">
        <v>11</v>
      </c>
    </row>
    <row r="4" spans="1:2" x14ac:dyDescent="0.25">
      <c r="A4" s="2" t="s">
        <v>8</v>
      </c>
      <c r="B4" s="2" t="s">
        <v>8</v>
      </c>
    </row>
  </sheetData>
  <pageMargins left="0.51180555555555596" right="0.51180555555555596" top="0.78680555555555598" bottom="0.78680555555555598" header="0.31388888888888899" footer="0.31388888888888899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13"/>
  <sheetViews>
    <sheetView zoomScaleSheetLayoutView="100" workbookViewId="0">
      <selection activeCell="A11" sqref="A11"/>
    </sheetView>
  </sheetViews>
  <sheetFormatPr defaultColWidth="9" defaultRowHeight="15" x14ac:dyDescent="0.25"/>
  <cols>
    <col min="1" max="1" width="49" bestFit="1" customWidth="1"/>
  </cols>
  <sheetData>
    <row r="2" spans="1:1" x14ac:dyDescent="0.25">
      <c r="A2" s="1" t="s">
        <v>257</v>
      </c>
    </row>
    <row r="3" spans="1:1" x14ac:dyDescent="0.25">
      <c r="A3" s="1" t="s">
        <v>14</v>
      </c>
    </row>
    <row r="4" spans="1:1" x14ac:dyDescent="0.25">
      <c r="A4" s="1" t="s">
        <v>1014</v>
      </c>
    </row>
    <row r="5" spans="1:1" x14ac:dyDescent="0.25">
      <c r="A5" s="1" t="s">
        <v>258</v>
      </c>
    </row>
    <row r="6" spans="1:1" x14ac:dyDescent="0.25">
      <c r="A6" s="1" t="s">
        <v>259</v>
      </c>
    </row>
    <row r="7" spans="1:1" x14ac:dyDescent="0.25">
      <c r="A7" s="1" t="s">
        <v>260</v>
      </c>
    </row>
    <row r="8" spans="1:1" x14ac:dyDescent="0.25">
      <c r="A8" s="1" t="s">
        <v>261</v>
      </c>
    </row>
    <row r="9" spans="1:1" x14ac:dyDescent="0.25">
      <c r="A9" s="1" t="s">
        <v>262</v>
      </c>
    </row>
    <row r="10" spans="1:1" x14ac:dyDescent="0.25">
      <c r="A10" s="1" t="s">
        <v>1019</v>
      </c>
    </row>
    <row r="11" spans="1:1" x14ac:dyDescent="0.25">
      <c r="A11" s="1" t="s">
        <v>263</v>
      </c>
    </row>
    <row r="12" spans="1:1" x14ac:dyDescent="0.25">
      <c r="A12" s="36" t="s">
        <v>299</v>
      </c>
    </row>
    <row r="13" spans="1:1" x14ac:dyDescent="0.25">
      <c r="A13" s="36" t="s">
        <v>309</v>
      </c>
    </row>
  </sheetData>
  <pageMargins left="0.51180555555555596" right="0.51180555555555596" top="0.78680555555555598" bottom="0.78680555555555598" header="0.31388888888888899" footer="0.3138888888888889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PRE ALERTA RODO</vt:lpstr>
      <vt:lpstr>PRE ALERTA LOCAL </vt:lpstr>
      <vt:lpstr>VALOR DA CARGA</vt:lpstr>
      <vt:lpstr>CUBAGEM RODO</vt:lpstr>
      <vt:lpstr>FROTA GRU</vt:lpstr>
      <vt:lpstr>JEM</vt:lpstr>
      <vt:lpstr>ZMRC - RODIZIO_SP</vt:lpstr>
      <vt:lpstr>placas </vt:lpstr>
      <vt:lpstr>Seguranca </vt:lpstr>
      <vt:lpstr>Motoristas </vt:lpstr>
      <vt:lpstr>prestadores serviços</vt:lpstr>
      <vt:lpstr>sn</vt:lpstr>
      <vt:lpstr>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PRE-ALERTAS</dc:title>
  <dc:subject>TRANSPORTE RODO</dc:subject>
  <dc:creator>Dino Grejo</dc:creator>
  <cp:keywords>TRANSPORTE</cp:keywords>
  <cp:lastModifiedBy>Dino Grejo</cp:lastModifiedBy>
  <cp:lastPrinted>2020-10-03T13:08:24Z</cp:lastPrinted>
  <dcterms:created xsi:type="dcterms:W3CDTF">2019-07-14T21:46:00Z</dcterms:created>
  <dcterms:modified xsi:type="dcterms:W3CDTF">2021-01-14T20:40:51Z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1046-11.2.0.9144</vt:lpwstr>
  </property>
</Properties>
</file>