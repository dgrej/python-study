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C:\Users\dino.grejo\Documents\back_up\"/>
    </mc:Choice>
  </mc:AlternateContent>
  <xr:revisionPtr revIDLastSave="0" documentId="8_{5C374B53-F387-4C12-BD2A-47C3B2AD68D2}" xr6:coauthVersionLast="46" xr6:coauthVersionMax="46" xr10:uidLastSave="{00000000-0000-0000-0000-000000000000}"/>
  <bookViews>
    <workbookView xWindow="0" yWindow="0" windowWidth="23730" windowHeight="13020" xr2:uid="{00000000-000D-0000-FFFF-FFFF00000000}"/>
  </bookViews>
  <sheets>
    <sheet name="NUTRIPORT" sheetId="3" r:id="rId1"/>
    <sheet name="ALIQUOTA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5" i="3" l="1"/>
  <c r="D15" i="3" s="1"/>
</calcChain>
</file>

<file path=xl/sharedStrings.xml><?xml version="1.0" encoding="utf-8"?>
<sst xmlns="http://schemas.openxmlformats.org/spreadsheetml/2006/main" count="5" uniqueCount="5">
  <si>
    <t>DESCONTO</t>
  </si>
  <si>
    <t>ICMS DE SP PARA OUTROS ESTADOS</t>
  </si>
  <si>
    <t>VALOR 
FRETE</t>
  </si>
  <si>
    <t>ALÍQUOTA</t>
  </si>
  <si>
    <t>cod nutri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</si>
</sst>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000000"/>
      <name val="Century Gothic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/>
    <xf numFmtId="9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9" fontId="6" fillId="2" borderId="1" xfId="0" applyNumberFormat="1" applyFont="1" applyFill="1" applyBorder="1"/>
    <xf numFmtId="0" fontId="5" fillId="0" borderId="3" xfId="0" applyFont="1" applyBorder="1"/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/>
    <xf numFmtId="4" fontId="8" fillId="0" borderId="0" xfId="0" applyNumberFormat="1" applyFont="1"/>
    <xf numFmtId="2" fontId="4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10</xdr:row>
      <xdr:rowOff>28575</xdr:rowOff>
    </xdr:from>
    <xdr:to>
      <xdr:col>7</xdr:col>
      <xdr:colOff>342900</xdr:colOff>
      <xdr:row>13</xdr:row>
      <xdr:rowOff>114300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CF0D3FB-7062-451F-BAB9-F504237FC0A3}"/>
            </a:ext>
          </a:extLst>
        </xdr:cNvPr>
        <xdr:cNvSpPr txBox="1"/>
      </xdr:nvSpPr>
      <xdr:spPr>
        <a:xfrm>
          <a:off x="6467475" y="1933575"/>
          <a:ext cx="1409700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INSERIR NO </a:t>
          </a:r>
        </a:p>
        <a:p>
          <a:r>
            <a:rPr lang="pt-BR" sz="1800"/>
            <a:t>SISTEMA</a:t>
          </a:r>
        </a:p>
      </xdr:txBody>
    </xdr:sp>
    <xdr:clientData/>
  </xdr:twoCellAnchor>
  <xdr:twoCellAnchor>
    <xdr:from>
      <xdr:col>3</xdr:col>
      <xdr:colOff>1914525</xdr:colOff>
      <xdr:row>11</xdr:row>
      <xdr:rowOff>152402</xdr:rowOff>
    </xdr:from>
    <xdr:to>
      <xdr:col>5</xdr:col>
      <xdr:colOff>190500</xdr:colOff>
      <xdr:row>14</xdr:row>
      <xdr:rowOff>57150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F05C693D-A3AA-4702-844F-F2EA6266F0EC}"/>
            </a:ext>
          </a:extLst>
        </xdr:cNvPr>
        <xdr:cNvCxnSpPr/>
      </xdr:nvCxnSpPr>
      <xdr:spPr>
        <a:xfrm flipV="1">
          <a:off x="4133850" y="2247902"/>
          <a:ext cx="962025" cy="6667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</xdr:row>
      <xdr:rowOff>180975</xdr:rowOff>
    </xdr:from>
    <xdr:to>
      <xdr:col>18</xdr:col>
      <xdr:colOff>38100</xdr:colOff>
      <xdr:row>16</xdr:row>
      <xdr:rowOff>114744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ABE9ED-101C-43A5-9A87-29AE0878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3075" y="371475"/>
          <a:ext cx="4914900" cy="3181794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17</xdr:row>
      <xdr:rowOff>95250</xdr:rowOff>
    </xdr:from>
    <xdr:to>
      <xdr:col>21</xdr:col>
      <xdr:colOff>429962</xdr:colOff>
      <xdr:row>29</xdr:row>
      <xdr:rowOff>133674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DA93788-00AE-4728-89BD-4161880D0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5150" y="3676650"/>
          <a:ext cx="9583487" cy="2324424"/>
        </a:xfrm>
        <a:prstGeom prst="rect">
          <a:avLst/>
        </a:prstGeom>
      </xdr:spPr>
    </xdr:pic>
    <xdr:clientData/>
  </xdr:twoCellAnchor>
  <xdr:twoCellAnchor>
    <xdr:from>
      <xdr:col>3</xdr:col>
      <xdr:colOff>2019300</xdr:colOff>
      <xdr:row>14</xdr:row>
      <xdr:rowOff>314325</xdr:rowOff>
    </xdr:from>
    <xdr:to>
      <xdr:col>10</xdr:col>
      <xdr:colOff>314325</xdr:colOff>
      <xdr:row>19</xdr:row>
      <xdr:rowOff>95250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08C3BBCE-4517-4B21-A5BE-87C430308B52}"/>
            </a:ext>
          </a:extLst>
        </xdr:cNvPr>
        <xdr:cNvCxnSpPr/>
      </xdr:nvCxnSpPr>
      <xdr:spPr>
        <a:xfrm>
          <a:off x="4238625" y="3171825"/>
          <a:ext cx="4029075" cy="904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142875</xdr:colOff>
      <xdr:row>29</xdr:row>
      <xdr:rowOff>133350</xdr:rowOff>
    </xdr:from>
    <xdr:to>
      <xdr:col>21</xdr:col>
      <xdr:colOff>447675</xdr:colOff>
      <xdr:row>52</xdr:row>
      <xdr:rowOff>28575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4858677-E318-4BDF-92A3-88ADF6A7D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5150" y="6000750"/>
          <a:ext cx="5791200" cy="427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726D-EDDE-4F93-ABBD-501857A7F885}">
  <dimension ref="B2:X15"/>
  <sheetViews>
    <sheetView tabSelected="1" workbookViewId="0">
      <selection activeCell="D15" sqref="D15"/>
    </sheetView>
  </sheetViews>
  <sheetFormatPr defaultRowHeight="15"/>
  <cols>
    <col min="2" max="2" width="15" bestFit="1" customWidth="1"/>
    <col min="3" max="3" width="11" bestFit="1" customWidth="1"/>
    <col min="4" max="4" width="31.140625" bestFit="1" customWidth="1"/>
  </cols>
  <sheetData>
    <row r="2" spans="2:24">
      <c r="K2" s="11" t="s">
        <v>1</v>
      </c>
      <c r="L2" s="11"/>
      <c r="M2" s="11"/>
      <c r="N2" s="11"/>
      <c r="O2" s="11"/>
      <c r="P2" s="11"/>
      <c r="Q2" s="11"/>
      <c r="R2" s="11"/>
    </row>
    <row r="6" spans="2:24">
      <c r="D6" s="7"/>
      <c r="V6" s="8" t="s">
        <v>4</v>
      </c>
      <c r="W6" s="8">
        <v>7580</v>
      </c>
      <c r="X6" s="8"/>
    </row>
    <row r="13" spans="2:24" ht="15.75" thickBot="1">
      <c r="C13" s="1" t="s">
        <v>3</v>
      </c>
    </row>
    <row r="14" spans="2:24" ht="30.75" thickBot="1">
      <c r="B14" s="3" t="s">
        <v>2</v>
      </c>
      <c r="C14" s="4">
        <v>7.0000000000000007E-2</v>
      </c>
      <c r="D14" s="6" t="s">
        <v>0</v>
      </c>
    </row>
    <row r="15" spans="2:24" ht="29.25" thickBot="1">
      <c r="B15" s="9">
        <v>27951.14</v>
      </c>
      <c r="C15" s="5">
        <f>B15*C14</f>
        <v>1956.5798000000002</v>
      </c>
      <c r="D15" s="10">
        <f>B15-C15</f>
        <v>25994.5602</v>
      </c>
    </row>
  </sheetData>
  <mergeCells count="1">
    <mergeCell ref="K2:R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A24B66-9F60-47BB-BEEF-CE7420AF5C06}">
          <x14:formula1>
            <xm:f>ALIQUOTA!$C$5:$C$6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3727-E83C-45FE-9B72-2AB672A63D77}">
  <dimension ref="C5:C6"/>
  <sheetViews>
    <sheetView workbookViewId="0">
      <selection activeCell="C7" sqref="C7"/>
    </sheetView>
  </sheetViews>
  <sheetFormatPr defaultRowHeight="15"/>
  <sheetData>
    <row r="5" spans="3:3">
      <c r="C5" s="2">
        <v>7.0000000000000007E-2</v>
      </c>
    </row>
    <row r="6" spans="3:3">
      <c r="C6" s="2">
        <v>0.12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NUTRIPORT</vt:lpstr>
      <vt:lpstr>ALIQUOTA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NUTRIPORT - CALCULO DESCONTO</dc:title>
  <dc:creator>Dino Grejo</dc:creator>
  <cp:keywords>VTCLOG</cp:keywords>
  <cp:lastModifiedBy>Dino Grejo</cp:lastModifiedBy>
  <cp:lastPrinted>2019-07-11T13:33:00Z</cp:lastPrinted>
  <dcterms:created xsi:type="dcterms:W3CDTF">2019-01-09T11:29:00Z</dcterms:created>
  <dcterms:modified xsi:type="dcterms:W3CDTF">2021-01-14T20:40:09Z</dcterms:modified>
  <cp:category>AEREO/RODO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1046-11.2.0.9169</vt:lpwstr>
  </property>
</Properties>
</file>